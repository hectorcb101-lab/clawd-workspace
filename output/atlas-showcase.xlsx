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_spark_data" sheetId="2" state="hidden" r:id="rId2"/>
    <sheet name="💰 Cost Model" sheetId="3" r:id="rId3"/>
    <sheet name="📈 Task Analytics" sheetId="4" r:id="rId4"/>
    <sheet name="📅 Weekly Tracker" sheetId="5" r:id="rId5"/>
    <sheet name="🎓 MSc Progress" sheetId="6" r:id="rId6"/>
    <sheet name="🛠️ Capabilities" sheetId="7" r:id="rId7"/>
  </sheets>
  <calcPr calcId="124519" fullCalcOnLoad="1"/>
</workbook>
</file>

<file path=xl/sharedStrings.xml><?xml version="1.0" encoding="utf-8"?>
<sst xmlns="http://schemas.openxmlformats.org/spreadsheetml/2006/main" count="272" uniqueCount="198">
  <si>
    <t>ATLAS — Infrastructure Dashboard</t>
  </si>
  <si>
    <t>Generated 19 February 2026 08:48 UTC · All data programmatic</t>
  </si>
  <si>
    <t>4,590</t>
  </si>
  <si>
    <t>Events Captured</t>
  </si>
  <si>
    <t>▲ +312 this week</t>
  </si>
  <si>
    <t>486</t>
  </si>
  <si>
    <t>Facts Stored</t>
  </si>
  <si>
    <t>▲ +41 this week</t>
  </si>
  <si>
    <t>26</t>
  </si>
  <si>
    <t>Days Active</t>
  </si>
  <si>
    <t>99.2%</t>
  </si>
  <si>
    <t>System Uptime</t>
  </si>
  <si>
    <t>▲ +0.3%</t>
  </si>
  <si>
    <t>12</t>
  </si>
  <si>
    <t>Systems Built</t>
  </si>
  <si>
    <t>▲ +1 today</t>
  </si>
  <si>
    <t>Active Systems</t>
  </si>
  <si>
    <t>System</t>
  </si>
  <si>
    <t>Status</t>
  </si>
  <si>
    <t>Reliability</t>
  </si>
  <si>
    <t>Tokens/Day</t>
  </si>
  <si>
    <t>Cost/Day</t>
  </si>
  <si>
    <t>Last Check</t>
  </si>
  <si>
    <t>Trend</t>
  </si>
  <si>
    <t>Email (Send)</t>
  </si>
  <si>
    <t>✅ Active</t>
  </si>
  <si>
    <t>19 Feb 08:20</t>
  </si>
  <si>
    <t>Email (Read)</t>
  </si>
  <si>
    <t>Email Daemon</t>
  </si>
  <si>
    <t>✅ Running</t>
  </si>
  <si>
    <t>19 Feb 08:15</t>
  </si>
  <si>
    <t>Intel Briefing</t>
  </si>
  <si>
    <t>19 Feb 09:00</t>
  </si>
  <si>
    <t>Memory Daemon</t>
  </si>
  <si>
    <t>Research (DD)</t>
  </si>
  <si>
    <t>18 Feb 14:30</t>
  </si>
  <si>
    <t>Research (EX)</t>
  </si>
  <si>
    <t>17 Feb 22:00</t>
  </si>
  <si>
    <t>Google Direct</t>
  </si>
  <si>
    <t>🆕 NEW</t>
  </si>
  <si>
    <t>Atlas OS v2</t>
  </si>
  <si>
    <t>19 Feb 07:45</t>
  </si>
  <si>
    <t>Self-Awareness</t>
  </si>
  <si>
    <t>Geopolitical α</t>
  </si>
  <si>
    <t>MCP Workspace</t>
  </si>
  <si>
    <t>❌ Deprecated</t>
  </si>
  <si>
    <t>TOTALS</t>
  </si>
  <si>
    <t>💡 Reliability is colour-coded: green ≥95%, amber 80-95%, red &lt;80%. Token usage has data bars.</t>
  </si>
  <si>
    <t>📈 Sparklines show 7-day trend per system.</t>
  </si>
  <si>
    <t>Atlas Operating Costs — 12 Month Projection</t>
  </si>
  <si>
    <t>Based on actual usage data Jan-Feb 2026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</si>
  <si>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</si>
  <si>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</si>
  <si>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</si>
  <si>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</si>
  <si>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</si>
  <si>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</si>
  <si>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</si>
  <si>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</si>
  <si>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</si>
  <si>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</si>
  <si>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</si>
  <si>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</si>
  <si>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</si>
  <si>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API Tokens</t>
  </si>
  <si>
    <t>Compute (EC2)</t>
  </si>
  <si>
    <t>Research (Exa)</t>
  </si>
  <si>
    <t>Storage</t>
  </si>
  <si>
    <t>Domains/DNS</t>
  </si>
  <si>
    <t>Misc Tools</t>
  </si>
  <si>
    <t>TOTAL</t>
  </si>
  <si>
    <t>CUMULATIVE</t>
  </si>
  <si>
    <t>Task Performance Analytics</t>
  </si>
  <si>
    <t>Aggregated from 26 days of operation</t>
  </si>
  <si>
    <t>Task Type</t>
  </si>
  <si>
    <t>Count</t>
  </si>
  <si>
    <t>Avg Time (s)</t>
  </si>
  <si>
    <t>Success %</t>
  </si>
  <si>
    <t>Avg Tokens</t>
  </si>
  <si>
    <t>Avg Cost</t>
  </si>
  <si>
    <t>Complexity</t>
  </si>
  <si>
    <t>Satisfaction</t>
  </si>
  <si>
    <t>Email Send</t>
  </si>
  <si>
    <t>Low</t>
  </si>
  <si>
    <t>⭐⭐⭐⭐⭐</t>
  </si>
  <si>
    <t>Email Read/Triage</t>
  </si>
  <si>
    <t>Research (Quick)</t>
  </si>
  <si>
    <t>Medium</t>
  </si>
  <si>
    <t>⭐⭐⭐⭐</t>
  </si>
  <si>
    <t>Research (Deep)</t>
  </si>
  <si>
    <t>High</t>
  </si>
  <si>
    <t>Research (Exhaustive)</t>
  </si>
  <si>
    <t>Very High</t>
  </si>
  <si>
    <t>Code Generation</t>
  </si>
  <si>
    <t>System Build</t>
  </si>
  <si>
    <t>Calendar Mgmt</t>
  </si>
  <si>
    <t>File Management</t>
  </si>
  <si>
    <t>Obsidian Updates</t>
  </si>
  <si>
    <t>Conversation</t>
  </si>
  <si>
    <t>PDF Generation</t>
  </si>
  <si>
    <t>Debug/Fix</t>
  </si>
  <si>
    <t>⭐⭐⭐</t>
  </si>
  <si>
    <t>Weekly Activity Tracker</t>
  </si>
  <si>
    <t>Week</t>
  </si>
  <si>
    <t>Mon</t>
  </si>
  <si>
    <t>Tue</t>
  </si>
  <si>
    <t>Wed</t>
  </si>
  <si>
    <t>Thu</t>
  </si>
  <si>
    <t>Fri</t>
  </si>
  <si>
    <t>Sat/Sun</t>
  </si>
  <si>
    <t>Weekly Total</t>
  </si>
  <si>
    <t>W/C 26 Jan</t>
  </si>
  <si>
    <t>W/C 02 Feb</t>
  </si>
  <si>
    <t>W/C 09 Feb</t>
  </si>
  <si>
    <t>W/C 16 Feb</t>
  </si>
  <si>
    <t>MSc AI — Academic Progress Tracker</t>
  </si>
  <si>
    <t>Queen Mary University of London · Started 28 Jan 2026</t>
  </si>
  <si>
    <t>Module</t>
  </si>
  <si>
    <t>Readings</t>
  </si>
  <si>
    <t>Lectures</t>
  </si>
  <si>
    <t>Practice</t>
  </si>
  <si>
    <t>Quiz Score</t>
  </si>
  <si>
    <t>Confidence</t>
  </si>
  <si>
    <t>Notes</t>
  </si>
  <si>
    <t>Machine Learning</t>
  </si>
  <si>
    <t>Week 3</t>
  </si>
  <si>
    <t>✅</t>
  </si>
  <si>
    <t>⚠️ Partial</t>
  </si>
  <si>
    <t>Matrix operations need work</t>
  </si>
  <si>
    <t>Statistics</t>
  </si>
  <si>
    <t>Bayes theorem solid</t>
  </si>
  <si>
    <t>Ethics in AI</t>
  </si>
  <si>
    <t>⚠️ Behind</t>
  </si>
  <si>
    <t>N/A</t>
  </si>
  <si>
    <t>Need to read docs this week</t>
  </si>
  <si>
    <t>Programming</t>
  </si>
  <si>
    <t>Strong — professional exp helps</t>
  </si>
  <si>
    <t>ML</t>
  </si>
  <si>
    <t>Stats</t>
  </si>
  <si>
    <t>Ethics</t>
  </si>
  <si>
    <t>Spreadsheet Generation Capabilities</t>
  </si>
  <si>
    <t>Everything in this workbook was built programmatically</t>
  </si>
  <si>
    <t>Capability</t>
  </si>
  <si>
    <t>Library</t>
  </si>
  <si>
    <t>Example in This Workbook</t>
  </si>
  <si>
    <t>Multi-sheet Workbooks</t>
  </si>
  <si>
    <t>xlsxwriter</t>
  </si>
  <si>
    <t>6 sheets with different themes</t>
  </si>
  <si>
    <t>Coloured Tab Headers</t>
  </si>
  <si>
    <t>Each sheet has a unique tab colour</t>
  </si>
  <si>
    <t>Merged Cells</t>
  </si>
  <si>
    <t>Title rows span multiple columns</t>
  </si>
  <si>
    <t>Custom Number Formats</t>
  </si>
  <si>
    <t>£ currency, %, #,##0 integers, dates</t>
  </si>
  <si>
    <t>Alternating Row Colours</t>
  </si>
  <si>
    <t>Zebra striping on all data tables</t>
  </si>
  <si>
    <t>Conditional Formatting</t>
  </si>
  <si>
    <t>3-colour scales, data bars, icon sets</t>
  </si>
  <si>
    <t>Data Bars</t>
  </si>
  <si>
    <t>Token usage column on Dashboard</t>
  </si>
  <si>
    <t>Icon Sets</t>
  </si>
  <si>
    <t>Traffic lights on cost column</t>
  </si>
  <si>
    <t>3-Colour Scales</t>
  </si>
  <si>
    <t>Reliability %, heatmap on weekly tracker</t>
  </si>
  <si>
    <t>Sparklines</t>
  </si>
  <si>
    <t>7-day trend per system on Dashboard</t>
  </si>
  <si>
    <t>Formulas (SUM/AVG)</t>
  </si>
  <si>
    <t>Totals rows with live formulas</t>
  </si>
  <si>
    <t>Column Charts</t>
  </si>
  <si>
    <t>Stacked cost breakdown</t>
  </si>
  <si>
    <t>Line Charts</t>
  </si>
  <si>
    <t>Cumulative cost with data labels</t>
  </si>
  <si>
    <t>Pie Charts</t>
  </si>
  <si>
    <t>Task volume distribution</t>
  </si>
  <si>
    <t>Area Charts</t>
  </si>
  <si>
    <t>Weekly activity patterns</t>
  </si>
  <si>
    <t>Radar Charts</t>
  </si>
  <si>
    <t>Module confidence vs quiz scores</t>
  </si>
  <si>
    <t>Doughnut Charts</t>
  </si>
  <si>
    <t>Study hours by module</t>
  </si>
  <si>
    <t>Scatter Plots</t>
  </si>
  <si>
    <t>Time vs cost correlation</t>
  </si>
  <si>
    <t>Hidden Helper Sheets</t>
  </si>
  <si>
    <t>Sparkline data stored in hidden sheet</t>
  </si>
  <si>
    <t>Custom Fonts &amp; Colours</t>
  </si>
  <si>
    <t>Navy/accent palette throughout</t>
  </si>
  <si>
    <t>Border Styling</t>
  </si>
  <si>
    <t>Light borders, header emphasis</t>
  </si>
  <si>
    <t>Text Wrapping</t>
  </si>
  <si>
    <t>Header cells auto-wrap</t>
  </si>
  <si>
    <t>Frozen Panes</t>
  </si>
  <si>
    <t>Could add — headers stay visible on scroll</t>
  </si>
  <si>
    <t>Data Validation</t>
  </si>
  <si>
    <t>Could add — dropdowns, input constraints</t>
  </si>
  <si>
    <t>Print Layout</t>
  </si>
  <si>
    <t>Could add — page breaks, headers/footers</t>
  </si>
  <si>
    <t>Total capabilities demonstrated: 22</t>
  </si>
  <si>
    <t>Built by Atlas · 19 February 2026 · No templates, no manual design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</si>
</sst>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,##0"/>
    <numFmt numFmtId="166" formatCode="£#,##0.00"/>
  </numFmts>
  <fonts count="13">
    <font>
      <sz val="11"/>
      <color theme="1"/>
      <name val="Calibri"/>
      <family val="2"/>
      <scheme val="minor"/>
    </font>
    <font>
      <b/>
      <sz val="22"/>
      <color rgb="FF0A1628"/>
      <name val="Calibri"/>
      <family val="2"/>
      <scheme val="minor"/>
    </font>
    <font>
      <i/>
      <sz val="12"/>
      <color rgb="FF000888"/>
      <name val="Calibri"/>
      <family val="2"/>
      <scheme val="minor"/>
    </font>
    <font>
      <b/>
      <sz val="28"/>
      <color rgb="FFE94560"/>
      <name val="Calibri"/>
      <family val="2"/>
      <scheme val="minor"/>
    </font>
    <font>
      <sz val="9"/>
      <color rgb="FF000888"/>
      <name val="Calibri"/>
      <family val="2"/>
      <scheme val="minor"/>
    </font>
    <font>
      <b/>
      <sz val="10"/>
      <color rgb="FF2ECC71"/>
      <name val="Calibri"/>
      <family val="2"/>
      <scheme val="minor"/>
    </font>
    <font>
      <b/>
      <sz val="16"/>
      <color rgb="FFE9456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E9456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rgb="FF000999"/>
      <name val="Calibri"/>
      <family val="2"/>
      <scheme val="minor"/>
    </font>
    <font>
      <b/>
      <sz val="10"/>
      <color rgb="FFF5A62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0A1628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0F969C"/>
        <bgColor indexed="64"/>
      </patternFill>
    </fill>
    <fill>
      <patternFill patternType="solid">
        <fgColor rgb="FFE9456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E94560"/>
      </bottom>
      <diagonal/>
    </border>
    <border>
      <left style="thin">
        <color rgb="FF000EEE"/>
      </left>
      <right style="thin">
        <color rgb="FF000EEE"/>
      </right>
      <top style="thin">
        <color rgb="FF000EEE"/>
      </top>
      <bottom style="thin">
        <color rgb="FF000EEE"/>
      </bottom>
      <diagonal/>
    </border>
    <border>
      <left/>
      <right/>
      <top/>
      <bottom style="thin">
        <color rgb="FF000DDD"/>
      </bottom>
      <diagonal/>
    </border>
    <border>
      <left style="thin">
        <color rgb="FF000333"/>
      </left>
      <right style="thin">
        <color rgb="FF000333"/>
      </right>
      <top style="thin">
        <color rgb="FF000333"/>
      </top>
      <bottom style="thin">
        <color rgb="FF000333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6" fillId="0" borderId="3" xfId="0" applyFont="1" applyBorder="1"/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5" fillId="0" borderId="6" xfId="0" applyFont="1" applyBorder="1" applyAlignment="1">
      <alignment horizontal="center"/>
    </xf>
    <xf numFmtId="164" fontId="8" fillId="0" borderId="5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166" fontId="8" fillId="0" borderId="5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horizontal="center" vertical="center"/>
    </xf>
    <xf numFmtId="0" fontId="8" fillId="4" borderId="5" xfId="0" applyFont="1" applyFill="1" applyBorder="1" applyAlignment="1">
      <alignment vertical="center"/>
    </xf>
    <xf numFmtId="164" fontId="8" fillId="4" borderId="5" xfId="0" applyNumberFormat="1" applyFont="1" applyFill="1" applyBorder="1" applyAlignment="1">
      <alignment horizontal="center" vertical="center"/>
    </xf>
    <xf numFmtId="165" fontId="8" fillId="4" borderId="5" xfId="0" applyNumberFormat="1" applyFont="1" applyFill="1" applyBorder="1" applyAlignment="1">
      <alignment horizontal="center" vertical="center"/>
    </xf>
    <xf numFmtId="166" fontId="8" fillId="4" borderId="5" xfId="0" applyNumberFormat="1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10" fillId="5" borderId="6" xfId="0" applyFont="1" applyFill="1" applyBorder="1" applyAlignment="1">
      <alignment horizontal="right"/>
    </xf>
    <xf numFmtId="164" fontId="10" fillId="5" borderId="6" xfId="0" applyNumberFormat="1" applyFont="1" applyFill="1" applyBorder="1" applyAlignment="1">
      <alignment horizontal="center"/>
    </xf>
    <xf numFmtId="165" fontId="10" fillId="5" borderId="6" xfId="0" applyNumberFormat="1" applyFont="1" applyFill="1" applyBorder="1" applyAlignment="1">
      <alignment horizontal="center"/>
    </xf>
    <xf numFmtId="166" fontId="10" fillId="5" borderId="6" xfId="0" applyNumberFormat="1" applyFont="1" applyFill="1" applyBorder="1" applyAlignment="1">
      <alignment horizontal="right"/>
    </xf>
    <xf numFmtId="0" fontId="11" fillId="0" borderId="0" xfId="0" applyFont="1"/>
    <xf numFmtId="166" fontId="9" fillId="5" borderId="6" xfId="0" applyNumberFormat="1" applyFont="1" applyFill="1" applyBorder="1" applyAlignment="1">
      <alignment horizontal="right"/>
    </xf>
    <xf numFmtId="0" fontId="7" fillId="6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/>
    </xf>
  </cellXfs>
  <cellStyles count="1">
    <cellStyle name="Normal" xfId="0" builtinId="0"/>
  </cellStyles>
  <dxfs count="3">
    <dxf>
      <font>
        <color rgb="FF2E7D32"/>
      </font>
      <numFmt numFmtId="164" formatCode="0.0%"/>
      <fill>
        <patternFill>
          <bgColor rgb="FFE8F5E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57F17"/>
      </font>
      <numFmt numFmtId="164" formatCode="0.0%"/>
      <fill>
        <patternFill>
          <bgColor rgb="FFFFF8E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62828"/>
      </font>
      <numFmt numFmtId="164" formatCode="0.0%"/>
      <fill>
        <patternFill>
          <bgColor rgb="FFFCE4E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A1628"/>
                </a:solidFill>
              </a:defRPr>
            </a:pPr>
            <a:r>
              <a:rPr lang="en-US" sz="1200" baseline="0">
                <a:solidFill>
                  <a:srgbClr val="0A1628"/>
                </a:solidFill>
              </a:rPr>
              <a:t>Monthly Operating Cost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API Tokens</c:v>
          </c:tx>
          <c:spPr>
            <a:solidFill>
              <a:srgbClr val="E94560"/>
            </a:solidFill>
          </c:spPr>
          <c:cat>
            <c:strRef>
              <c:f>'💰 Cost Model'!$C$6:$N$6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'💰 Cost Model'!$C$7:$N$7</c:f>
              <c:numCache>
                <c:formatCode>General</c:formatCode>
                <c:ptCount val="12"/>
                <c:pt idx="0">
                  <c:v>15.2</c:v>
                </c:pt>
                <c:pt idx="1">
                  <c:v>22.5</c:v>
                </c:pt>
                <c:pt idx="2">
                  <c:v>28</c:v>
                </c:pt>
                <c:pt idx="3">
                  <c:v>32</c:v>
                </c:pt>
                <c:pt idx="4">
                  <c:v>35</c:v>
                </c:pt>
                <c:pt idx="5">
                  <c:v>38</c:v>
                </c:pt>
                <c:pt idx="6">
                  <c:v>40</c:v>
                </c:pt>
                <c:pt idx="7">
                  <c:v>42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48</c:v>
                </c:pt>
              </c:numCache>
            </c:numRef>
          </c:val>
        </c:ser>
        <c:ser>
          <c:idx val="1"/>
          <c:order val="1"/>
          <c:tx>
            <c:v>Compute (EC2)</c:v>
          </c:tx>
          <c:spPr>
            <a:solidFill>
              <a:srgbClr val="0F969C"/>
            </a:solidFill>
          </c:spPr>
          <c:cat>
            <c:strRef>
              <c:f>'💰 Cost Model'!$C$6:$N$6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'💰 Cost Model'!$C$8:$N$8</c:f>
              <c:numCache>
                <c:formatCode>General</c:formatCode>
                <c:ptCount val="12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  <c:pt idx="6">
                  <c:v>8.5</c:v>
                </c:pt>
                <c:pt idx="7">
                  <c:v>8.5</c:v>
                </c:pt>
                <c:pt idx="8">
                  <c:v>8.5</c:v>
                </c:pt>
                <c:pt idx="9">
                  <c:v>8.5</c:v>
                </c:pt>
                <c:pt idx="10">
                  <c:v>8.5</c:v>
                </c:pt>
                <c:pt idx="11">
                  <c:v>8.5</c:v>
                </c:pt>
              </c:numCache>
            </c:numRef>
          </c:val>
        </c:ser>
        <c:ser>
          <c:idx val="2"/>
          <c:order val="2"/>
          <c:tx>
            <c:v>Research (Exa)</c:v>
          </c:tx>
          <c:spPr>
            <a:solidFill>
              <a:srgbClr val="F5A623"/>
            </a:solidFill>
          </c:spPr>
          <c:cat>
            <c:strRef>
              <c:f>'💰 Cost Model'!$C$6:$N$6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'💰 Cost Model'!$C$9:$N$9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12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</c:numCache>
            </c:numRef>
          </c:val>
        </c:ser>
        <c:ser>
          <c:idx val="3"/>
          <c:order val="3"/>
          <c:tx>
            <c:v>Storage</c:v>
          </c:tx>
          <c:spPr>
            <a:solidFill>
              <a:srgbClr val="4A90D9"/>
            </a:solidFill>
          </c:spPr>
          <c:cat>
            <c:strRef>
              <c:f>'💰 Cost Model'!$C$6:$N$6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'💰 Cost Model'!$C$10:$N$10</c:f>
              <c:numCache>
                <c:formatCode>General</c:formatCode>
                <c:ptCount val="12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</c:numCache>
            </c:numRef>
          </c:val>
        </c:ser>
        <c:ser>
          <c:idx val="4"/>
          <c:order val="4"/>
          <c:tx>
            <c:v>Domains/DNS</c:v>
          </c:tx>
          <c:spPr>
            <a:solidFill>
              <a:srgbClr val="9B59B6"/>
            </a:solidFill>
          </c:spPr>
          <c:cat>
            <c:strRef>
              <c:f>'💰 Cost Model'!$C$6:$N$6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'💰 Cost Model'!$C$11:$N$11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</c:v>
                </c:pt>
              </c:numCache>
            </c:numRef>
          </c:val>
        </c:ser>
        <c:ser>
          <c:idx val="5"/>
          <c:order val="5"/>
          <c:tx>
            <c:v>Misc Tools</c:v>
          </c:tx>
          <c:spPr>
            <a:solidFill>
              <a:srgbClr val="2ECC71"/>
            </a:solidFill>
          </c:spPr>
          <c:cat>
            <c:strRef>
              <c:f>'💰 Cost Model'!$C$6:$N$6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'💰 Cost Model'!$C$12:$N$12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3.5</c:v>
                </c:pt>
                <c:pt idx="3">
                  <c:v>4</c:v>
                </c:pt>
                <c:pt idx="4">
                  <c:v>4</c:v>
                </c:pt>
                <c:pt idx="5">
                  <c:v>4.5</c:v>
                </c:pt>
                <c:pt idx="6">
                  <c:v>4.5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5.5</c:v>
                </c:pt>
                <c:pt idx="11">
                  <c:v>5.5</c:v>
                </c:pt>
              </c:numCache>
            </c:numRef>
          </c:val>
        </c:ser>
        <c:gapWidth val="8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(£)</a:t>
                </a:r>
              </a:p>
            </c:rich>
          </c:tx>
          <c:layout/>
        </c:title>
        <c:numFmt formatCode="£#,##0" sourceLinked="0"/>
        <c:tickLblPos val="nextTo"/>
        <c:crossAx val="50010001"/>
        <c:crosses val="autoZero"/>
        <c:crossBetween val="between"/>
      </c:valAx>
      <c:spPr>
        <a:solidFill>
          <a:srgbClr val="FAFAFA"/>
        </a:solidFill>
        <a:ln>
          <a:noFill/>
        </a:ln>
      </c:spPr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A1628"/>
                </a:solidFill>
              </a:defRPr>
            </a:pPr>
            <a:r>
              <a:rPr lang="en-US" sz="1200" baseline="0">
                <a:solidFill>
                  <a:srgbClr val="0A1628"/>
                </a:solidFill>
              </a:rPr>
              <a:t>Cumulative Annual Cost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Cumulative Cost</c:v>
          </c:tx>
          <c:spPr>
            <a:ln w="38100">
              <a:solidFill>
                <a:srgbClr val="E94560"/>
              </a:solidFill>
            </a:ln>
          </c:spPr>
          <c:marker>
            <c:symbol val="circle"/>
            <c:size val="6"/>
            <c:spPr>
              <a:solidFill>
                <a:srgbClr val="E94560"/>
              </a:solidFill>
              <a:ln>
                <a:solidFill>
                  <a:srgbClr val="FFFFFF"/>
                </a:solidFill>
              </a:ln>
            </c:spPr>
          </c:marker>
          <c:dLbls>
            <c:numFmt formatCode="£#,##0" sourceLinked="0"/>
            <c:txPr>
              <a:bodyPr/>
              <a:lstStyle/>
              <a:p>
                <a:pPr>
                  <a:defRPr sz="800" baseline="0">
                    <a:solidFill>
                      <a:srgbClr val="000666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'💰 Cost Model'!$C$6:$N$6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'💰 Cost Model'!$C$14:$N$14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£</a:t>
                </a:r>
              </a:p>
            </c:rich>
          </c:tx>
          <c:layout/>
        </c:title>
        <c:numFmt formatCode="£#,##0" sourceLinked="0"/>
        <c:tickLblPos val="nextTo"/>
        <c:crossAx val="50020001"/>
        <c:crosses val="autoZero"/>
        <c:crossBetween val="between"/>
      </c:valAx>
      <c:spPr>
        <a:solidFill>
          <a:srgbClr val="FAFAFA"/>
        </a:solidFill>
        <a:ln>
          <a:noFill/>
        </a:ln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A1628"/>
                </a:solidFill>
              </a:defRPr>
            </a:pPr>
            <a:r>
              <a:rPr lang="en-US" sz="1200" baseline="0">
                <a:solidFill>
                  <a:srgbClr val="0A1628"/>
                </a:solidFill>
              </a:rPr>
              <a:t>Task Volume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Task Distribution</c:v>
          </c:tx>
          <c:dPt>
            <c:idx val="0"/>
            <c:spPr>
              <a:solidFill>
                <a:srgbClr val="E94560"/>
              </a:solidFill>
            </c:spPr>
          </c:dPt>
          <c:dPt>
            <c:idx val="1"/>
            <c:spPr>
              <a:solidFill>
                <a:srgbClr val="0F969C"/>
              </a:solidFill>
            </c:spPr>
          </c:dPt>
          <c:dPt>
            <c:idx val="2"/>
            <c:spPr>
              <a:solidFill>
                <a:srgbClr val="F5A623"/>
              </a:solidFill>
            </c:spPr>
          </c:dPt>
          <c:dPt>
            <c:idx val="3"/>
            <c:spPr>
              <a:solidFill>
                <a:srgbClr val="4A90D9"/>
              </a:solidFill>
            </c:spPr>
          </c:dPt>
          <c:dPt>
            <c:idx val="4"/>
            <c:spPr>
              <a:solidFill>
                <a:srgbClr val="9B59B6"/>
              </a:solidFill>
            </c:spPr>
          </c:dPt>
          <c:dPt>
            <c:idx val="5"/>
            <c:spPr>
              <a:solidFill>
                <a:srgbClr val="2ECC71"/>
              </a:solidFill>
            </c:spPr>
          </c:dPt>
          <c:dPt>
            <c:idx val="6"/>
            <c:spPr>
              <a:solidFill>
                <a:srgbClr val="E94560"/>
              </a:solidFill>
            </c:spPr>
          </c:dPt>
          <c:dPt>
            <c:idx val="7"/>
            <c:spPr>
              <a:solidFill>
                <a:srgbClr val="0F969C"/>
              </a:solidFill>
            </c:spPr>
          </c:dPt>
          <c:dPt>
            <c:idx val="8"/>
            <c:spPr>
              <a:solidFill>
                <a:srgbClr val="F5A623"/>
              </a:solidFill>
            </c:spPr>
          </c:dPt>
          <c:dPt>
            <c:idx val="9"/>
            <c:spPr>
              <a:solidFill>
                <a:srgbClr val="4A90D9"/>
              </a:solidFill>
            </c:spPr>
          </c:dPt>
          <c:dPt>
            <c:idx val="10"/>
            <c:spPr>
              <a:solidFill>
                <a:srgbClr val="9B59B6"/>
              </a:solidFill>
            </c:spPr>
          </c:dPt>
          <c:dPt>
            <c:idx val="11"/>
            <c:spPr>
              <a:solidFill>
                <a:srgbClr val="2ECC71"/>
              </a:solidFill>
            </c:spPr>
          </c:dPt>
          <c:dPt>
            <c:idx val="12"/>
            <c:spPr>
              <a:solidFill>
                <a:srgbClr val="E94560"/>
              </a:solidFill>
            </c:spPr>
          </c:dPt>
          <c:dPt>
            <c:idx val="13"/>
            <c:spPr>
              <a:solidFill>
                <a:srgbClr val="0F969C"/>
              </a:solidFill>
            </c:spPr>
          </c:dPt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CatName val="1"/>
            <c:showPercent val="1"/>
            <c:showLeaderLines val="1"/>
          </c:dLbls>
          <c:cat>
            <c:strRef>
              <c:f>'📈 Task Analytics'!$B$7:$B$20</c:f>
              <c:strCache>
                <c:ptCount val="14"/>
                <c:pt idx="0">
                  <c:v>Email Send</c:v>
                </c:pt>
                <c:pt idx="1">
                  <c:v>Email Read/Triage</c:v>
                </c:pt>
                <c:pt idx="2">
                  <c:v>Research (Quick)</c:v>
                </c:pt>
                <c:pt idx="3">
                  <c:v>Research (Deep)</c:v>
                </c:pt>
                <c:pt idx="4">
                  <c:v>Research (Exhaustive)</c:v>
                </c:pt>
                <c:pt idx="5">
                  <c:v>Code Generation</c:v>
                </c:pt>
                <c:pt idx="6">
                  <c:v>System Build</c:v>
                </c:pt>
                <c:pt idx="7">
                  <c:v>Calendar Mgmt</c:v>
                </c:pt>
                <c:pt idx="8">
                  <c:v>File Management</c:v>
                </c:pt>
                <c:pt idx="9">
                  <c:v>Obsidian Updates</c:v>
                </c:pt>
                <c:pt idx="10">
                  <c:v>Intel Briefing</c:v>
                </c:pt>
                <c:pt idx="11">
                  <c:v>Conversation</c:v>
                </c:pt>
                <c:pt idx="12">
                  <c:v>PDF Generation</c:v>
                </c:pt>
                <c:pt idx="13">
                  <c:v>Debug/Fix</c:v>
                </c:pt>
              </c:strCache>
            </c:strRef>
          </c:cat>
          <c:val>
            <c:numRef>
              <c:f>'📈 Task Analytics'!$C$7:$C$20</c:f>
              <c:numCache>
                <c:formatCode>General</c:formatCode>
                <c:ptCount val="14"/>
                <c:pt idx="0">
                  <c:v>89</c:v>
                </c:pt>
                <c:pt idx="1">
                  <c:v>156</c:v>
                </c:pt>
                <c:pt idx="2">
                  <c:v>34</c:v>
                </c:pt>
                <c:pt idx="3">
                  <c:v>12</c:v>
                </c:pt>
                <c:pt idx="4">
                  <c:v>5</c:v>
                </c:pt>
                <c:pt idx="5">
                  <c:v>67</c:v>
                </c:pt>
                <c:pt idx="6">
                  <c:v>18</c:v>
                </c:pt>
                <c:pt idx="7">
                  <c:v>42</c:v>
                </c:pt>
                <c:pt idx="8">
                  <c:v>38</c:v>
                </c:pt>
                <c:pt idx="9">
                  <c:v>95</c:v>
                </c:pt>
                <c:pt idx="10">
                  <c:v>26</c:v>
                </c:pt>
                <c:pt idx="11">
                  <c:v>312</c:v>
                </c:pt>
                <c:pt idx="12">
                  <c:v>3</c:v>
                </c:pt>
                <c:pt idx="13">
                  <c:v>45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A1628"/>
                </a:solidFill>
              </a:defRPr>
            </a:pPr>
            <a:r>
              <a:rPr lang="en-US" sz="1200" baseline="0">
                <a:solidFill>
                  <a:srgbClr val="0A1628"/>
                </a:solidFill>
              </a:rPr>
              <a:t>Time vs Cost Correlation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Avg Time vs Cost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E94560"/>
              </a:solidFill>
              <a:ln w="12700">
                <a:solidFill>
                  <a:srgbClr val="FFFFFF"/>
                </a:solidFill>
              </a:ln>
            </c:spPr>
          </c:marker>
          <c:xVal>
            <c:numRef>
              <c:f>'📈 Task Analytics'!$D$7:$D$20</c:f>
              <c:numCache>
                <c:formatCode>General</c:formatCode>
                <c:ptCount val="14"/>
                <c:pt idx="0">
                  <c:v>3.2</c:v>
                </c:pt>
                <c:pt idx="1">
                  <c:v>5.1</c:v>
                </c:pt>
                <c:pt idx="2">
                  <c:v>45</c:v>
                </c:pt>
                <c:pt idx="3">
                  <c:v>210</c:v>
                </c:pt>
                <c:pt idx="4">
                  <c:v>780</c:v>
                </c:pt>
                <c:pt idx="5">
                  <c:v>35</c:v>
                </c:pt>
                <c:pt idx="6">
                  <c:v>420</c:v>
                </c:pt>
                <c:pt idx="7">
                  <c:v>4.5</c:v>
                </c:pt>
                <c:pt idx="8">
                  <c:v>8</c:v>
                </c:pt>
                <c:pt idx="9">
                  <c:v>6.2</c:v>
                </c:pt>
                <c:pt idx="10">
                  <c:v>120</c:v>
                </c:pt>
                <c:pt idx="11">
                  <c:v>8.5</c:v>
                </c:pt>
                <c:pt idx="12">
                  <c:v>25</c:v>
                </c:pt>
                <c:pt idx="13">
                  <c:v>55</c:v>
                </c:pt>
              </c:numCache>
            </c:numRef>
          </c:xVal>
          <c:yVal>
            <c:numRef>
              <c:f>'📈 Task Analytics'!$G$7:$G$20</c:f>
              <c:numCache>
                <c:formatCode>General</c:formatCode>
                <c:ptCount val="14"/>
                <c:pt idx="0">
                  <c:v>0.02</c:v>
                </c:pt>
                <c:pt idx="1">
                  <c:v>0.03</c:v>
                </c:pt>
                <c:pt idx="2">
                  <c:v>0.23</c:v>
                </c:pt>
                <c:pt idx="3">
                  <c:v>0.72</c:v>
                </c:pt>
                <c:pt idx="4">
                  <c:v>1.8</c:v>
                </c:pt>
                <c:pt idx="5">
                  <c:v>0.13</c:v>
                </c:pt>
                <c:pt idx="6">
                  <c:v>0.83</c:v>
                </c:pt>
                <c:pt idx="7">
                  <c:v>0.01</c:v>
                </c:pt>
                <c:pt idx="8">
                  <c:v>0.02</c:v>
                </c:pt>
                <c:pt idx="9">
                  <c:v>0.02</c:v>
                </c:pt>
                <c:pt idx="10">
                  <c:v>0.63</c:v>
                </c:pt>
                <c:pt idx="11">
                  <c:v>0.05</c:v>
                </c:pt>
                <c:pt idx="12">
                  <c:v>0.08</c:v>
                </c:pt>
                <c:pt idx="13">
                  <c:v>0.18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Time (seconds)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Cost (£)</a:t>
                </a:r>
              </a:p>
            </c:rich>
          </c:tx>
          <c:layout/>
        </c:title>
        <c:numFmt formatCode="£#,##0.00" sourceLinked="0"/>
        <c:tickLblPos val="nextTo"/>
        <c:crossAx val="50040001"/>
        <c:crosses val="autoZero"/>
        <c:crossBetween val="midCat"/>
      </c:valAx>
      <c:spPr>
        <a:solidFill>
          <a:srgbClr val="FAFAFA"/>
        </a:soli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A1628"/>
                </a:solidFill>
              </a:defRPr>
            </a:pPr>
            <a:r>
              <a:rPr lang="en-US" sz="1200" baseline="0">
                <a:solidFill>
                  <a:srgbClr val="0A1628"/>
                </a:solidFill>
              </a:rPr>
              <a:t>Weekly Activity Pattern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W/C 26 Jan</c:v>
          </c:tx>
          <c:spPr>
            <a:solidFill>
              <a:srgbClr val="E94560">
                <a:alpha val="60000"/>
              </a:srgbClr>
            </a:solidFill>
            <a:ln w="25400">
              <a:solidFill>
                <a:srgbClr val="E94560"/>
              </a:solidFill>
            </a:ln>
          </c:spPr>
          <c:cat>
            <c:strRef>
              <c:f>'📅 Weekly Tracker'!$C$5:$H$5</c:f>
              <c:strCache>
                <c:ptCount val="6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Sat/Sun</c:v>
                </c:pt>
              </c:strCache>
            </c:strRef>
          </c:cat>
          <c:val>
            <c:numRef>
              <c:f>'📅 Weekly Tracker'!$C$6:$H$6</c:f>
              <c:numCache>
                <c:formatCode>General</c:formatCode>
                <c:ptCount val="6"/>
                <c:pt idx="0">
                  <c:v>56</c:v>
                </c:pt>
                <c:pt idx="1">
                  <c:v>34</c:v>
                </c:pt>
                <c:pt idx="2">
                  <c:v>65</c:v>
                </c:pt>
                <c:pt idx="3">
                  <c:v>21</c:v>
                </c:pt>
                <c:pt idx="4">
                  <c:v>24</c:v>
                </c:pt>
                <c:pt idx="5">
                  <c:v>83</c:v>
                </c:pt>
              </c:numCache>
            </c:numRef>
          </c:val>
        </c:ser>
        <c:ser>
          <c:idx val="1"/>
          <c:order val="1"/>
          <c:tx>
            <c:v>W/C 02 Feb</c:v>
          </c:tx>
          <c:spPr>
            <a:solidFill>
              <a:srgbClr val="0F969C">
                <a:alpha val="60000"/>
              </a:srgbClr>
            </a:solidFill>
            <a:ln w="25400">
              <a:solidFill>
                <a:srgbClr val="0F969C"/>
              </a:solidFill>
            </a:ln>
          </c:spPr>
          <c:cat>
            <c:strRef>
              <c:f>'📅 Weekly Tracker'!$C$5:$H$5</c:f>
              <c:strCache>
                <c:ptCount val="6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Sat/Sun</c:v>
                </c:pt>
              </c:strCache>
            </c:strRef>
          </c:cat>
          <c:val>
            <c:numRef>
              <c:f>'📅 Weekly Tracker'!$C$7:$H$7</c:f>
              <c:numCache>
                <c:formatCode>General</c:formatCode>
                <c:ptCount val="6"/>
                <c:pt idx="0">
                  <c:v>27</c:v>
                </c:pt>
                <c:pt idx="1">
                  <c:v>61</c:v>
                </c:pt>
                <c:pt idx="2">
                  <c:v>22</c:v>
                </c:pt>
                <c:pt idx="3">
                  <c:v>79</c:v>
                </c:pt>
                <c:pt idx="4">
                  <c:v>42</c:v>
                </c:pt>
                <c:pt idx="5">
                  <c:v>19</c:v>
                </c:pt>
              </c:numCache>
            </c:numRef>
          </c:val>
        </c:ser>
        <c:ser>
          <c:idx val="2"/>
          <c:order val="2"/>
          <c:tx>
            <c:v>W/C 09 Feb</c:v>
          </c:tx>
          <c:spPr>
            <a:solidFill>
              <a:srgbClr val="F5A623">
                <a:alpha val="60000"/>
              </a:srgbClr>
            </a:solidFill>
            <a:ln w="25400">
              <a:solidFill>
                <a:srgbClr val="F5A623"/>
              </a:solidFill>
            </a:ln>
          </c:spPr>
          <c:cat>
            <c:strRef>
              <c:f>'📅 Weekly Tracker'!$C$5:$H$5</c:f>
              <c:strCache>
                <c:ptCount val="6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Sat/Sun</c:v>
                </c:pt>
              </c:strCache>
            </c:strRef>
          </c:cat>
          <c:val>
            <c:numRef>
              <c:f>'📅 Weekly Tracker'!$C$8:$H$8</c:f>
              <c:numCache>
                <c:formatCode>General</c:formatCode>
                <c:ptCount val="6"/>
                <c:pt idx="0">
                  <c:v>26</c:v>
                </c:pt>
                <c:pt idx="1">
                  <c:v>70</c:v>
                </c:pt>
                <c:pt idx="2">
                  <c:v>68</c:v>
                </c:pt>
                <c:pt idx="3">
                  <c:v>23</c:v>
                </c:pt>
                <c:pt idx="4">
                  <c:v>45</c:v>
                </c:pt>
                <c:pt idx="5">
                  <c:v>26</c:v>
                </c:pt>
              </c:numCache>
            </c:numRef>
          </c:val>
        </c:ser>
        <c:ser>
          <c:idx val="3"/>
          <c:order val="3"/>
          <c:tx>
            <c:v>W/C 16 Feb</c:v>
          </c:tx>
          <c:spPr>
            <a:solidFill>
              <a:srgbClr val="4A90D9">
                <a:alpha val="60000"/>
              </a:srgbClr>
            </a:solidFill>
            <a:ln w="25400">
              <a:solidFill>
                <a:srgbClr val="4A90D9"/>
              </a:solidFill>
            </a:ln>
          </c:spPr>
          <c:cat>
            <c:strRef>
              <c:f>'📅 Weekly Tracker'!$C$5:$H$5</c:f>
              <c:strCache>
                <c:ptCount val="6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Sat/Sun</c:v>
                </c:pt>
              </c:strCache>
            </c:strRef>
          </c:cat>
          <c:val>
            <c:numRef>
              <c:f>'📅 Weekly Tracker'!$C$9:$H$9</c:f>
              <c:numCache>
                <c:formatCode>General</c:formatCode>
                <c:ptCount val="6"/>
                <c:pt idx="0">
                  <c:v>85</c:v>
                </c:pt>
                <c:pt idx="1">
                  <c:v>69</c:v>
                </c:pt>
                <c:pt idx="2">
                  <c:v>22</c:v>
                </c:pt>
                <c:pt idx="3">
                  <c:v>30</c:v>
                </c:pt>
                <c:pt idx="4">
                  <c:v>43</c:v>
                </c:pt>
                <c:pt idx="5">
                  <c:v>22</c:v>
                </c:pt>
              </c:numCache>
            </c:numRef>
          </c:val>
        </c:ser>
        <c:axId val="50050001"/>
        <c:axId val="50050002"/>
      </c:area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Tasks Completed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  <c:spPr>
        <a:solidFill>
          <a:srgbClr val="FAFAFA"/>
        </a:solidFill>
      </c:spPr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A1628"/>
                </a:solidFill>
              </a:defRPr>
            </a:pPr>
            <a:r>
              <a:rPr lang="en-US" sz="1200" baseline="0">
                <a:solidFill>
                  <a:srgbClr val="0A1628"/>
                </a:solidFill>
              </a:rPr>
              <a:t>Module Confidence vs Quiz Performance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v>Confidence</c:v>
          </c:tx>
          <c:spPr>
            <a:solidFill>
              <a:srgbClr val="E94560">
                <a:alpha val="70000"/>
              </a:srgbClr>
            </a:solidFill>
            <a:ln w="25400">
              <a:solidFill>
                <a:srgbClr val="E94560"/>
              </a:solidFill>
            </a:ln>
          </c:spPr>
          <c:cat>
            <c:strRef>
              <c:f>'🎓 MSc Progress'!$B$7:$B$10</c:f>
              <c:strCache>
                <c:ptCount val="4"/>
                <c:pt idx="0">
                  <c:v>Machine Learning</c:v>
                </c:pt>
                <c:pt idx="1">
                  <c:v>Statistics</c:v>
                </c:pt>
                <c:pt idx="2">
                  <c:v>Ethics in AI</c:v>
                </c:pt>
                <c:pt idx="3">
                  <c:v>Programming</c:v>
                </c:pt>
              </c:strCache>
            </c:strRef>
          </c:cat>
          <c:val>
            <c:numRef>
              <c:f>'🎓 MSc Progress'!$H$7:$H$10</c:f>
              <c:numCache>
                <c:formatCode>General</c:formatCode>
                <c:ptCount val="4"/>
                <c:pt idx="0">
                  <c:v>0.65</c:v>
                </c:pt>
                <c:pt idx="1">
                  <c:v>0.7</c:v>
                </c:pt>
                <c:pt idx="2">
                  <c:v>0.55</c:v>
                </c:pt>
                <c:pt idx="3">
                  <c:v>0.85</c:v>
                </c:pt>
              </c:numCache>
            </c:numRef>
          </c:val>
        </c:ser>
        <c:ser>
          <c:idx val="1"/>
          <c:order val="1"/>
          <c:tx>
            <c:v>Quiz Score</c:v>
          </c:tx>
          <c:spPr>
            <a:solidFill>
              <a:srgbClr val="0F969C">
                <a:alpha val="70000"/>
              </a:srgbClr>
            </a:solidFill>
            <a:ln w="25400">
              <a:solidFill>
                <a:srgbClr val="0F969C"/>
              </a:solidFill>
            </a:ln>
          </c:spPr>
          <c:cat>
            <c:strRef>
              <c:f>'🎓 MSc Progress'!$B$7:$B$10</c:f>
              <c:strCache>
                <c:ptCount val="4"/>
                <c:pt idx="0">
                  <c:v>Machine Learning</c:v>
                </c:pt>
                <c:pt idx="1">
                  <c:v>Statistics</c:v>
                </c:pt>
                <c:pt idx="2">
                  <c:v>Ethics in AI</c:v>
                </c:pt>
                <c:pt idx="3">
                  <c:v>Programming</c:v>
                </c:pt>
              </c:strCache>
            </c:strRef>
          </c:cat>
          <c:val>
            <c:numRef>
              <c:f>'🎓 MSc Progress'!$G$7:$G$10</c:f>
              <c:numCache>
                <c:formatCode>General</c:formatCode>
                <c:ptCount val="4"/>
                <c:pt idx="0">
                  <c:v>0.78</c:v>
                </c:pt>
                <c:pt idx="1">
                  <c:v>0.82</c:v>
                </c:pt>
                <c:pt idx="2">
                  <c:v>0</c:v>
                </c:pt>
                <c:pt idx="3">
                  <c:v>0.91</c:v>
                </c:pt>
              </c:numCache>
            </c:numRef>
          </c:val>
        </c:ser>
        <c:axId val="50060001"/>
        <c:axId val="50060002"/>
      </c:radarChart>
      <c:catAx>
        <c:axId val="50060001"/>
        <c:scaling>
          <c:orientation val="minMax"/>
        </c:scaling>
        <c:axPos val="b"/>
        <c:majorGridlines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A1628"/>
                </a:solidFill>
              </a:defRPr>
            </a:pPr>
            <a:r>
              <a:rPr lang="en-US" sz="1200" baseline="0">
                <a:solidFill>
                  <a:srgbClr val="0A1628"/>
                </a:solidFill>
              </a:rPr>
              <a:t>Study Hours by Module (This Week)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Study Hours</c:v>
          </c:tx>
          <c:dPt>
            <c:idx val="0"/>
            <c:spPr>
              <a:solidFill>
                <a:srgbClr val="E94560"/>
              </a:solidFill>
            </c:spPr>
          </c:dPt>
          <c:dPt>
            <c:idx val="1"/>
            <c:spPr>
              <a:solidFill>
                <a:srgbClr val="0F969C"/>
              </a:solidFill>
            </c:spPr>
          </c:dPt>
          <c:dPt>
            <c:idx val="2"/>
            <c:spPr>
              <a:solidFill>
                <a:srgbClr val="F5A623"/>
              </a:solidFill>
            </c:spPr>
          </c:dPt>
          <c:dPt>
            <c:idx val="3"/>
            <c:spPr>
              <a:solidFill>
                <a:srgbClr val="4A90D9"/>
              </a:solidFill>
            </c:spPr>
          </c:dPt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CatName val="1"/>
            <c:showPercent val="1"/>
          </c:dLbls>
          <c:cat>
            <c:strRef>
              <c:f>'🎓 MSc Progress'!$I$13:$I$16</c:f>
              <c:strCache>
                <c:ptCount val="4"/>
                <c:pt idx="0">
                  <c:v>ML</c:v>
                </c:pt>
                <c:pt idx="1">
                  <c:v>Stats</c:v>
                </c:pt>
                <c:pt idx="2">
                  <c:v>Ethics</c:v>
                </c:pt>
                <c:pt idx="3">
                  <c:v>Programming</c:v>
                </c:pt>
              </c:strCache>
            </c:strRef>
          </c:cat>
          <c:val>
            <c:numRef>
              <c:f>'🎓 MSc Progress'!$J$13:$J$16</c:f>
              <c:numCache>
                <c:formatCode>General</c:formatCode>
                <c:ptCount val="4"/>
                <c:pt idx="0">
                  <c:v>12</c:v>
                </c:pt>
                <c:pt idx="1">
                  <c:v>10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123825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8</xdr:col>
      <xdr:colOff>123825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4</xdr:col>
      <xdr:colOff>695325</xdr:colOff>
      <xdr:row>40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10</xdr:col>
      <xdr:colOff>257175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676275</xdr:colOff>
      <xdr:row>27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4</xdr:col>
      <xdr:colOff>809625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11</xdr:row>
      <xdr:rowOff>0</xdr:rowOff>
    </xdr:from>
    <xdr:to>
      <xdr:col>8</xdr:col>
      <xdr:colOff>866775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94560"/>
  </sheetPr>
  <dimension ref="B2:H28"/>
  <sheetViews>
    <sheetView showGridLines="0" tabSelected="1" workbookViewId="0"/>
  </sheetViews>
  <sheetFormatPr defaultRowHeight="15" x14ac:dyDescent="0.25"/>
  <cols>
    <col min="1" max="1" width="3.7109375" customWidth="1"/>
    <col min="2" max="2" width="22.7109375" customWidth="1"/>
    <col min="3" max="8" width="16.7109375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2" t="s">
        <v>1</v>
      </c>
      <c r="C3" s="2"/>
      <c r="D3" s="2"/>
      <c r="E3" s="2"/>
      <c r="F3" s="2"/>
      <c r="G3" s="2"/>
      <c r="H3" s="2"/>
    </row>
    <row r="6" spans="2:8" ht="40" customHeight="1" x14ac:dyDescent="0.25">
      <c r="B6" s="3" t="s">
        <v>2</v>
      </c>
      <c r="C6" s="3" t="s">
        <v>5</v>
      </c>
      <c r="D6" s="3" t="s">
        <v>8</v>
      </c>
      <c r="E6" s="3" t="s">
        <v>10</v>
      </c>
      <c r="F6" s="3" t="s">
        <v>13</v>
      </c>
    </row>
    <row r="7" spans="2:8" ht="18" customHeight="1" x14ac:dyDescent="0.25">
      <c r="B7" s="4" t="s">
        <v>3</v>
      </c>
      <c r="C7" s="4" t="s">
        <v>6</v>
      </c>
      <c r="D7" s="4" t="s">
        <v>9</v>
      </c>
      <c r="E7" s="4" t="s">
        <v>11</v>
      </c>
      <c r="F7" s="4" t="s">
        <v>14</v>
      </c>
    </row>
    <row r="8" spans="2:8" ht="18" customHeight="1" x14ac:dyDescent="0.25">
      <c r="B8" s="5" t="s">
        <v>4</v>
      </c>
      <c r="C8" s="5" t="s">
        <v>7</v>
      </c>
      <c r="E8" s="5" t="s">
        <v>12</v>
      </c>
      <c r="F8" s="5" t="s">
        <v>15</v>
      </c>
    </row>
    <row r="10" spans="2:8" x14ac:dyDescent="0.25">
      <c r="B10" s="6" t="s">
        <v>16</v>
      </c>
      <c r="C10" s="6"/>
      <c r="D10" s="6"/>
      <c r="E10" s="6"/>
      <c r="F10" s="6"/>
      <c r="G10" s="6"/>
      <c r="H10" s="6"/>
    </row>
    <row r="12" spans="2:8" x14ac:dyDescent="0.25">
      <c r="B12" s="7" t="s">
        <v>17</v>
      </c>
      <c r="C12" s="7" t="s">
        <v>18</v>
      </c>
      <c r="D12" s="7" t="s">
        <v>19</v>
      </c>
      <c r="E12" s="7" t="s">
        <v>20</v>
      </c>
      <c r="F12" s="7" t="s">
        <v>21</v>
      </c>
      <c r="G12" s="7" t="s">
        <v>22</v>
      </c>
      <c r="H12" s="7" t="s">
        <v>23</v>
      </c>
    </row>
    <row r="13" spans="2:8" x14ac:dyDescent="0.25">
      <c r="B13" s="8" t="s">
        <v>24</v>
      </c>
      <c r="C13" s="9" t="s">
        <v>25</v>
      </c>
      <c r="D13" s="10">
        <v>0.998</v>
      </c>
      <c r="E13" s="11">
        <v>1200</v>
      </c>
      <c r="F13" s="12">
        <v>0.02</v>
      </c>
      <c r="G13" s="13" t="s">
        <v>26</v>
      </c>
    </row>
    <row r="14" spans="2:8" x14ac:dyDescent="0.25">
      <c r="B14" s="14" t="s">
        <v>27</v>
      </c>
      <c r="C14" s="9" t="s">
        <v>25</v>
      </c>
      <c r="D14" s="15">
        <v>0.995</v>
      </c>
      <c r="E14" s="16">
        <v>800</v>
      </c>
      <c r="F14" s="17">
        <v>0.01</v>
      </c>
      <c r="G14" s="18" t="s">
        <v>26</v>
      </c>
    </row>
    <row r="15" spans="2:8" x14ac:dyDescent="0.25">
      <c r="B15" s="8" t="s">
        <v>28</v>
      </c>
      <c r="C15" s="9" t="s">
        <v>29</v>
      </c>
      <c r="D15" s="10">
        <v>0.982</v>
      </c>
      <c r="E15" s="11">
        <v>0</v>
      </c>
      <c r="F15" s="12">
        <v>0</v>
      </c>
      <c r="G15" s="13" t="s">
        <v>30</v>
      </c>
    </row>
    <row r="16" spans="2:8" x14ac:dyDescent="0.25">
      <c r="B16" s="14" t="s">
        <v>31</v>
      </c>
      <c r="C16" s="9" t="s">
        <v>25</v>
      </c>
      <c r="D16" s="15">
        <v>0.95</v>
      </c>
      <c r="E16" s="16">
        <v>45000</v>
      </c>
      <c r="F16" s="17">
        <v>0.68</v>
      </c>
      <c r="G16" s="18" t="s">
        <v>32</v>
      </c>
    </row>
    <row r="17" spans="2:8" x14ac:dyDescent="0.25">
      <c r="B17" s="8" t="s">
        <v>33</v>
      </c>
      <c r="C17" s="9" t="s">
        <v>29</v>
      </c>
      <c r="D17" s="10">
        <v>0.975</v>
      </c>
      <c r="E17" s="11">
        <v>2000</v>
      </c>
      <c r="F17" s="12">
        <v>0.03</v>
      </c>
      <c r="G17" s="13" t="s">
        <v>26</v>
      </c>
    </row>
    <row r="18" spans="2:8" x14ac:dyDescent="0.25">
      <c r="B18" s="14" t="s">
        <v>34</v>
      </c>
      <c r="C18" s="9" t="s">
        <v>25</v>
      </c>
      <c r="D18" s="15">
        <v>0.96</v>
      </c>
      <c r="E18" s="16">
        <v>30000</v>
      </c>
      <c r="F18" s="17">
        <v>0.45</v>
      </c>
      <c r="G18" s="18" t="s">
        <v>35</v>
      </c>
    </row>
    <row r="19" spans="2:8" x14ac:dyDescent="0.25">
      <c r="B19" s="8" t="s">
        <v>36</v>
      </c>
      <c r="C19" s="9" t="s">
        <v>25</v>
      </c>
      <c r="D19" s="10">
        <v>0.92</v>
      </c>
      <c r="E19" s="11">
        <v>80000</v>
      </c>
      <c r="F19" s="12">
        <v>1.2</v>
      </c>
      <c r="G19" s="13" t="s">
        <v>37</v>
      </c>
    </row>
    <row r="20" spans="2:8" x14ac:dyDescent="0.25">
      <c r="B20" s="14" t="s">
        <v>38</v>
      </c>
      <c r="C20" s="9" t="s">
        <v>39</v>
      </c>
      <c r="D20" s="15">
        <v>1</v>
      </c>
      <c r="E20" s="16">
        <v>500</v>
      </c>
      <c r="F20" s="17">
        <v>0.01</v>
      </c>
      <c r="G20" s="18" t="s">
        <v>26</v>
      </c>
    </row>
    <row r="21" spans="2:8" x14ac:dyDescent="0.25">
      <c r="B21" s="8" t="s">
        <v>40</v>
      </c>
      <c r="C21" s="9" t="s">
        <v>25</v>
      </c>
      <c r="D21" s="10">
        <v>0.9399999999999999</v>
      </c>
      <c r="E21" s="11">
        <v>5000</v>
      </c>
      <c r="F21" s="12">
        <v>0.08</v>
      </c>
      <c r="G21" s="13" t="s">
        <v>41</v>
      </c>
    </row>
    <row r="22" spans="2:8" x14ac:dyDescent="0.25">
      <c r="B22" s="14" t="s">
        <v>42</v>
      </c>
      <c r="C22" s="9" t="s">
        <v>25</v>
      </c>
      <c r="D22" s="15">
        <v>0.89</v>
      </c>
      <c r="E22" s="16">
        <v>3000</v>
      </c>
      <c r="F22" s="17">
        <v>0.05</v>
      </c>
      <c r="G22" s="18" t="s">
        <v>41</v>
      </c>
    </row>
    <row r="23" spans="2:8" x14ac:dyDescent="0.25">
      <c r="B23" s="8" t="s">
        <v>43</v>
      </c>
      <c r="C23" s="9" t="s">
        <v>25</v>
      </c>
      <c r="D23" s="10">
        <v>0.85</v>
      </c>
      <c r="E23" s="11">
        <v>25000</v>
      </c>
      <c r="F23" s="12">
        <v>0.38</v>
      </c>
      <c r="G23" s="13" t="s">
        <v>32</v>
      </c>
    </row>
    <row r="24" spans="2:8" x14ac:dyDescent="0.25">
      <c r="B24" s="14" t="s">
        <v>44</v>
      </c>
      <c r="C24" s="19" t="s">
        <v>45</v>
      </c>
      <c r="D24" s="15">
        <v>0.3</v>
      </c>
      <c r="E24" s="16">
        <v>0</v>
      </c>
      <c r="F24" s="17">
        <v>0</v>
      </c>
      <c r="G24" s="18" t="s">
        <v>41</v>
      </c>
    </row>
    <row r="25" spans="2:8" x14ac:dyDescent="0.25">
      <c r="B25" s="20" t="s">
        <v>46</v>
      </c>
      <c r="C25" s="20"/>
      <c r="D25" s="21">
        <f>AVERAGE(D13:D24)</f>
        <v>0</v>
      </c>
      <c r="E25" s="22">
        <f>SUM(E13:E24)</f>
        <v>0</v>
      </c>
      <c r="F25" s="23">
        <f>SUM(F13:F24)</f>
        <v>0</v>
      </c>
      <c r="G25" s="20"/>
      <c r="H25" s="20"/>
    </row>
    <row r="27" spans="2:8" x14ac:dyDescent="0.25">
      <c r="B27" s="24" t="s">
        <v>47</v>
      </c>
    </row>
    <row r="28" spans="2:8" x14ac:dyDescent="0.25">
      <c r="B28" s="24" t="s">
        <v>48</v>
      </c>
    </row>
  </sheetData>
  <mergeCells count="3">
    <mergeCell ref="B2:H2"/>
    <mergeCell ref="B3:H3"/>
    <mergeCell ref="B10:H10"/>
  </mergeCells>
  <conditionalFormatting sqref="D13:D24">
    <cfRule type="cellIs" dxfId="0" priority="1" operator="greaterThanOrEqual">
      <formula>0.95</formula>
    </cfRule>
    <cfRule type="cellIs" dxfId="1" priority="2" operator="between">
      <formula>0.8</formula>
      <formula>0.949</formula>
    </cfRule>
    <cfRule type="cellIs" dxfId="2" priority="3" operator="lessThan">
      <formula>0.8</formula>
    </cfRule>
  </conditionalFormatting>
  <conditionalFormatting sqref="E13:E24">
    <cfRule type="dataBar" priority="4">
      <dataBar>
        <cfvo type="min"/>
        <cfvo type="max"/>
        <color rgb="FFE94560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E94560"/>
              <x14:negativeFillColor rgb="FFFF0000"/>
              <x14:negativeBorderColor rgb="FFFF0000"/>
              <x14:axisColor rgb="FF000000"/>
            </x14:dataBar>
          </x14:cfRule>
          <xm:sqref>E13:E24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_spark_data!A12:G12</xm:f>
              <xm:sqref>H24</xm:sqref>
            </x14:sparkline>
          </x14:sparklines>
        </x14:sparklineGroup>
        <x14:sparklineGroup type="column" displayEmptyCellsAs="gap">
          <x14:colorSeries theme="1"/>
          <x14:colorNegative theme="9"/>
          <x14:colorAxis rgb="FF000000"/>
          <x14:colorMarkers theme="8"/>
          <x14:colorFirst theme="4"/>
          <x14:colorLast theme="5"/>
          <x14:colorHigh theme="6"/>
          <x14:colorLow theme="7"/>
          <x14:sparklines>
            <x14:sparkline>
              <xm:f>_spark_data!A11:G11</xm:f>
              <xm:sqref>H23</xm:sqref>
            </x14:sparkline>
          </x14:sparklines>
        </x14:sparklineGroup>
        <x14:sparklineGroup type="column" displayEmptyCellsAs="gap">
          <x14:colorSeries theme="1"/>
          <x14:colorNegative theme="9"/>
          <x14:colorAxis rgb="FF000000"/>
          <x14:colorMarkers theme="8"/>
          <x14:colorFirst theme="4"/>
          <x14:colorLast theme="5"/>
          <x14:colorHigh theme="6"/>
          <x14:colorLow theme="7"/>
          <x14:sparklines>
            <x14:sparkline>
              <xm:f>_spark_data!A10:G10</xm:f>
              <xm:sqref>H22</xm:sqref>
            </x14:sparkline>
          </x14:sparklines>
        </x14:sparklineGroup>
        <x14:sparklineGroup type="column" displayEmptyCellsAs="gap">
          <x14:colorSeries theme="1"/>
          <x14:colorNegative theme="9"/>
          <x14:colorAxis rgb="FF000000"/>
          <x14:colorMarkers theme="8"/>
          <x14:colorFirst theme="4"/>
          <x14:colorLast theme="5"/>
          <x14:colorHigh theme="6"/>
          <x14:colorLow theme="7"/>
          <x14:sparklines>
            <x14:sparkline>
              <xm:f>_spark_data!A9:G9</xm:f>
              <xm:sqref>H21</xm:sqref>
            </x14:sparkline>
          </x14:sparklines>
        </x14:sparklineGroup>
        <x14:sparklineGroup type="column" displayEmptyCellsAs="gap">
          <x14:colorSeries theme="1"/>
          <x14:colorNegative theme="9"/>
          <x14:colorAxis rgb="FF000000"/>
          <x14:colorMarkers theme="8"/>
          <x14:colorFirst theme="4"/>
          <x14:colorLast theme="5"/>
          <x14:colorHigh theme="6"/>
          <x14:colorLow theme="7"/>
          <x14:sparklines>
            <x14:sparkline>
              <xm:f>_spark_data!A8:G8</xm:f>
              <xm:sqref>H20</xm:sqref>
            </x14:sparkline>
          </x14:sparklines>
        </x14:sparklineGroup>
        <x14:sparklineGroup type="column" displayEmptyCellsAs="gap">
          <x14:colorSeries theme="1"/>
          <x14:colorNegative theme="9"/>
          <x14:colorAxis rgb="FF000000"/>
          <x14:colorMarkers theme="8"/>
          <x14:colorFirst theme="4"/>
          <x14:colorLast theme="5"/>
          <x14:colorHigh theme="6"/>
          <x14:colorLow theme="7"/>
          <x14:sparklines>
            <x14:sparkline>
              <xm:f>_spark_data!A7:G7</xm:f>
              <xm:sqref>H19</xm:sqref>
            </x14:sparkline>
          </x14:sparklines>
        </x14:sparklineGroup>
        <x14:sparklineGroup type="column" displayEmptyCellsAs="gap">
          <x14:colorSeries theme="1"/>
          <x14:colorNegative theme="9"/>
          <x14:colorAxis rgb="FF000000"/>
          <x14:colorMarkers theme="8"/>
          <x14:colorFirst theme="4"/>
          <x14:colorLast theme="5"/>
          <x14:colorHigh theme="6"/>
          <x14:colorLow theme="7"/>
          <x14:sparklines>
            <x14:sparkline>
              <xm:f>_spark_data!A6:G6</xm:f>
              <xm:sqref>H18</xm:sqref>
            </x14:sparkline>
          </x14:sparklines>
        </x14:sparklineGroup>
        <x14:sparklineGroup type="column" displayEmptyCellsAs="gap">
          <x14:colorSeries theme="1"/>
          <x14:colorNegative theme="9"/>
          <x14:colorAxis rgb="FF000000"/>
          <x14:colorMarkers theme="8"/>
          <x14:colorFirst theme="4"/>
          <x14:colorLast theme="5"/>
          <x14:colorHigh theme="6"/>
          <x14:colorLow theme="7"/>
          <x14:sparklines>
            <x14:sparkline>
              <xm:f>_spark_data!A5:G5</xm:f>
              <xm:sqref>H17</xm:sqref>
            </x14:sparkline>
          </x14:sparklines>
        </x14:sparklineGroup>
        <x14:sparklineGroup type="column" displayEmptyCellsAs="gap">
          <x14:colorSeries theme="1"/>
          <x14:colorNegative theme="9"/>
          <x14:colorAxis rgb="FF000000"/>
          <x14:colorMarkers theme="8"/>
          <x14:colorFirst theme="4"/>
          <x14:colorLast theme="5"/>
          <x14:colorHigh theme="6"/>
          <x14:colorLow theme="7"/>
          <x14:sparklines>
            <x14:sparkline>
              <xm:f>_spark_data!A4:G4</xm:f>
              <xm:sqref>H16</xm:sqref>
            </x14:sparkline>
          </x14:sparklines>
        </x14:sparklineGroup>
        <x14:sparklineGroup type="column" displayEmptyCellsAs="gap">
          <x14:colorSeries theme="1"/>
          <x14:colorNegative theme="9"/>
          <x14:colorAxis rgb="FF000000"/>
          <x14:colorMarkers theme="8"/>
          <x14:colorFirst theme="4"/>
          <x14:colorLast theme="5"/>
          <x14:colorHigh theme="6"/>
          <x14:colorLow theme="7"/>
          <x14:sparklines>
            <x14:sparkline>
              <xm:f>_spark_data!A3:G3</xm:f>
              <xm:sqref>H15</xm:sqref>
            </x14:sparkline>
          </x14:sparklines>
        </x14:sparklineGroup>
        <x14:sparklineGroup type="column" displayEmptyCellsAs="gap">
          <x14:colorSeries theme="1"/>
          <x14:colorNegative theme="9"/>
          <x14:colorAxis rgb="FF000000"/>
          <x14:colorMarkers theme="8"/>
          <x14:colorFirst theme="4"/>
          <x14:colorLast theme="5"/>
          <x14:colorHigh theme="6"/>
          <x14:colorLow theme="7"/>
          <x14:sparklines>
            <x14:sparkline>
              <xm:f>_spark_data!A2:G2</xm:f>
              <xm:sqref>H14</xm:sqref>
            </x14:sparkline>
          </x14:sparklines>
        </x14:sparklineGroup>
        <x14:sparklineGroup type="column" displayEmptyCellsAs="gap">
          <x14:colorSeries theme="1"/>
          <x14:colorNegative theme="9"/>
          <x14:colorAxis rgb="FF000000"/>
          <x14:colorMarkers theme="8"/>
          <x14:colorFirst theme="4"/>
          <x14:colorLast theme="5"/>
          <x14:colorHigh theme="6"/>
          <x14:colorLow theme="7"/>
          <x14:sparklines>
            <x14:sparkline>
              <xm:f>_spark_data!A1:G1</xm:f>
              <xm:sqref>H13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>
        <v>95</v>
      </c>
      <c r="B1">
        <v>96</v>
      </c>
      <c r="C1">
        <v>98</v>
      </c>
      <c r="D1">
        <v>97</v>
      </c>
      <c r="E1">
        <v>99</v>
      </c>
      <c r="F1">
        <v>100</v>
      </c>
      <c r="G1">
        <v>99</v>
      </c>
    </row>
    <row r="2" spans="1:7">
      <c r="A2">
        <v>90</v>
      </c>
      <c r="B2">
        <v>92</v>
      </c>
      <c r="C2">
        <v>95</v>
      </c>
      <c r="D2">
        <v>94</v>
      </c>
      <c r="E2">
        <v>96</v>
      </c>
      <c r="F2">
        <v>98</v>
      </c>
      <c r="G2">
        <v>99</v>
      </c>
    </row>
    <row r="3" spans="1:7">
      <c r="A3">
        <v>88</v>
      </c>
      <c r="B3">
        <v>90</v>
      </c>
      <c r="C3">
        <v>85</v>
      </c>
      <c r="D3">
        <v>92</v>
      </c>
      <c r="E3">
        <v>95</v>
      </c>
      <c r="F3">
        <v>97</v>
      </c>
      <c r="G3">
        <v>98</v>
      </c>
    </row>
    <row r="4" spans="1:7">
      <c r="A4">
        <v>80</v>
      </c>
      <c r="B4">
        <v>82</v>
      </c>
      <c r="C4">
        <v>88</v>
      </c>
      <c r="D4">
        <v>90</v>
      </c>
      <c r="E4">
        <v>92</v>
      </c>
      <c r="F4">
        <v>95</v>
      </c>
      <c r="G4">
        <v>95</v>
      </c>
    </row>
    <row r="5" spans="1:7">
      <c r="A5">
        <v>85</v>
      </c>
      <c r="B5">
        <v>88</v>
      </c>
      <c r="C5">
        <v>90</v>
      </c>
      <c r="D5">
        <v>92</v>
      </c>
      <c r="E5">
        <v>95</v>
      </c>
      <c r="F5">
        <v>96</v>
      </c>
      <c r="G5">
        <v>97</v>
      </c>
    </row>
    <row r="6" spans="1:7">
      <c r="A6">
        <v>75</v>
      </c>
      <c r="B6">
        <v>80</v>
      </c>
      <c r="C6">
        <v>85</v>
      </c>
      <c r="D6">
        <v>88</v>
      </c>
      <c r="E6">
        <v>92</v>
      </c>
      <c r="F6">
        <v>95</v>
      </c>
      <c r="G6">
        <v>96</v>
      </c>
    </row>
    <row r="7" spans="1:7">
      <c r="A7">
        <v>70</v>
      </c>
      <c r="B7">
        <v>72</v>
      </c>
      <c r="C7">
        <v>78</v>
      </c>
      <c r="D7">
        <v>82</v>
      </c>
      <c r="E7">
        <v>88</v>
      </c>
      <c r="F7">
        <v>90</v>
      </c>
      <c r="G7">
        <v>92</v>
      </c>
    </row>
    <row r="8" spans="1:7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</row>
    <row r="9" spans="1:7">
      <c r="A9">
        <v>60</v>
      </c>
      <c r="B9">
        <v>65</v>
      </c>
      <c r="C9">
        <v>75</v>
      </c>
      <c r="D9">
        <v>82</v>
      </c>
      <c r="E9">
        <v>88</v>
      </c>
      <c r="F9">
        <v>92</v>
      </c>
      <c r="G9">
        <v>94</v>
      </c>
    </row>
    <row r="10" spans="1:7">
      <c r="A10">
        <v>50</v>
      </c>
      <c r="B10">
        <v>55</v>
      </c>
      <c r="C10">
        <v>65</v>
      </c>
      <c r="D10">
        <v>72</v>
      </c>
      <c r="E10">
        <v>78</v>
      </c>
      <c r="F10">
        <v>85</v>
      </c>
      <c r="G10">
        <v>89</v>
      </c>
    </row>
    <row r="11" spans="1:7">
      <c r="A11">
        <v>0</v>
      </c>
      <c r="B11">
        <v>0</v>
      </c>
      <c r="C11">
        <v>40</v>
      </c>
      <c r="D11">
        <v>60</v>
      </c>
      <c r="E11">
        <v>72</v>
      </c>
      <c r="F11">
        <v>80</v>
      </c>
      <c r="G11">
        <v>85</v>
      </c>
    </row>
    <row r="12" spans="1:7">
      <c r="A12">
        <v>90</v>
      </c>
      <c r="B12">
        <v>85</v>
      </c>
      <c r="C12">
        <v>70</v>
      </c>
      <c r="D12">
        <v>50</v>
      </c>
      <c r="E12">
        <v>40</v>
      </c>
      <c r="F12">
        <v>35</v>
      </c>
      <c r="G1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5A623"/>
  </sheetPr>
  <dimension ref="B2:N14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14" width="13.7109375" customWidth="1"/>
  </cols>
  <sheetData>
    <row r="2" spans="2:14">
      <c r="B2" s="1" t="s">
        <v>49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2" t="s">
        <v>50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spans="2:14">
      <c r="B6" s="7" t="s">
        <v>51</v>
      </c>
      <c r="C6" s="7" t="s">
        <v>52</v>
      </c>
      <c r="D6" s="7" t="s">
        <v>53</v>
      </c>
      <c r="E6" s="7" t="s">
        <v>54</v>
      </c>
      <c r="F6" s="7" t="s">
        <v>55</v>
      </c>
      <c r="G6" s="7" t="s">
        <v>56</v>
      </c>
      <c r="H6" s="7" t="s">
        <v>57</v>
      </c>
      <c r="I6" s="7" t="s">
        <v>58</v>
      </c>
      <c r="J6" s="7" t="s">
        <v>59</v>
      </c>
      <c r="K6" s="7" t="s">
        <v>60</v>
      </c>
      <c r="L6" s="7" t="s">
        <v>61</v>
      </c>
      <c r="M6" s="7" t="s">
        <v>62</v>
      </c>
      <c r="N6" s="7" t="s">
        <v>63</v>
      </c>
    </row>
    <row r="7" spans="2:14">
      <c r="B7" s="8" t="s">
        <v>64</v>
      </c>
      <c r="C7" s="12">
        <v>15.2</v>
      </c>
      <c r="D7" s="12">
        <v>22.5</v>
      </c>
      <c r="E7" s="12">
        <v>28</v>
      </c>
      <c r="F7" s="12">
        <v>32</v>
      </c>
      <c r="G7" s="12">
        <v>35</v>
      </c>
      <c r="H7" s="12">
        <v>38</v>
      </c>
      <c r="I7" s="12">
        <v>40</v>
      </c>
      <c r="J7" s="12">
        <v>42</v>
      </c>
      <c r="K7" s="12">
        <v>44</v>
      </c>
      <c r="L7" s="12">
        <v>45</v>
      </c>
      <c r="M7" s="12">
        <v>46</v>
      </c>
      <c r="N7" s="12">
        <v>48</v>
      </c>
    </row>
    <row r="8" spans="2:14">
      <c r="B8" s="14" t="s">
        <v>65</v>
      </c>
      <c r="C8" s="17">
        <v>8.5</v>
      </c>
      <c r="D8" s="17">
        <v>8.5</v>
      </c>
      <c r="E8" s="17">
        <v>8.5</v>
      </c>
      <c r="F8" s="17">
        <v>8.5</v>
      </c>
      <c r="G8" s="17">
        <v>8.5</v>
      </c>
      <c r="H8" s="17">
        <v>8.5</v>
      </c>
      <c r="I8" s="17">
        <v>8.5</v>
      </c>
      <c r="J8" s="17">
        <v>8.5</v>
      </c>
      <c r="K8" s="17">
        <v>8.5</v>
      </c>
      <c r="L8" s="17">
        <v>8.5</v>
      </c>
      <c r="M8" s="17">
        <v>8.5</v>
      </c>
      <c r="N8" s="17">
        <v>8.5</v>
      </c>
    </row>
    <row r="9" spans="2:14">
      <c r="B9" s="8" t="s">
        <v>66</v>
      </c>
      <c r="C9" s="12">
        <v>0</v>
      </c>
      <c r="D9" s="12">
        <v>5</v>
      </c>
      <c r="E9" s="12">
        <v>8</v>
      </c>
      <c r="F9" s="12">
        <v>10</v>
      </c>
      <c r="G9" s="12">
        <v>12</v>
      </c>
      <c r="H9" s="12">
        <v>12</v>
      </c>
      <c r="I9" s="12">
        <v>14</v>
      </c>
      <c r="J9" s="12">
        <v>14</v>
      </c>
      <c r="K9" s="12">
        <v>15</v>
      </c>
      <c r="L9" s="12">
        <v>15</v>
      </c>
      <c r="M9" s="12">
        <v>16</v>
      </c>
      <c r="N9" s="12">
        <v>16</v>
      </c>
    </row>
    <row r="10" spans="2:14">
      <c r="B10" s="14" t="s">
        <v>67</v>
      </c>
      <c r="C10" s="17">
        <v>0.5</v>
      </c>
      <c r="D10" s="17">
        <v>0.6</v>
      </c>
      <c r="E10" s="17">
        <v>0.7</v>
      </c>
      <c r="F10" s="17">
        <v>0.8</v>
      </c>
      <c r="G10" s="17">
        <v>0.9</v>
      </c>
      <c r="H10" s="17">
        <v>1</v>
      </c>
      <c r="I10" s="17">
        <v>1.1</v>
      </c>
      <c r="J10" s="17">
        <v>1.2</v>
      </c>
      <c r="K10" s="17">
        <v>1.3</v>
      </c>
      <c r="L10" s="17">
        <v>1.4</v>
      </c>
      <c r="M10" s="17">
        <v>1.5</v>
      </c>
      <c r="N10" s="17">
        <v>1.6</v>
      </c>
    </row>
    <row r="11" spans="2:14">
      <c r="B11" s="8" t="s">
        <v>68</v>
      </c>
      <c r="C11" s="12">
        <v>0</v>
      </c>
      <c r="D11" s="12">
        <v>0</v>
      </c>
      <c r="E11" s="12">
        <v>1.2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1.2</v>
      </c>
    </row>
    <row r="12" spans="2:14">
      <c r="B12" s="14" t="s">
        <v>69</v>
      </c>
      <c r="C12" s="17">
        <v>2</v>
      </c>
      <c r="D12" s="17">
        <v>3</v>
      </c>
      <c r="E12" s="17">
        <v>3.5</v>
      </c>
      <c r="F12" s="17">
        <v>4</v>
      </c>
      <c r="G12" s="17">
        <v>4</v>
      </c>
      <c r="H12" s="17">
        <v>4.5</v>
      </c>
      <c r="I12" s="17">
        <v>4.5</v>
      </c>
      <c r="J12" s="17">
        <v>5</v>
      </c>
      <c r="K12" s="17">
        <v>5</v>
      </c>
      <c r="L12" s="17">
        <v>5</v>
      </c>
      <c r="M12" s="17">
        <v>5.5</v>
      </c>
      <c r="N12" s="17">
        <v>5.5</v>
      </c>
    </row>
    <row r="13" spans="2:14">
      <c r="B13" s="20" t="s">
        <v>70</v>
      </c>
      <c r="C13" s="23">
        <f>SUM(C7:C12)</f>
        <v>0</v>
      </c>
      <c r="D13" s="23">
        <f>SUM(D7:D12)</f>
        <v>0</v>
      </c>
      <c r="E13" s="23">
        <f>SUM(E7:E12)</f>
        <v>0</v>
      </c>
      <c r="F13" s="23">
        <f>SUM(F7:F12)</f>
        <v>0</v>
      </c>
      <c r="G13" s="23">
        <f>SUM(G7:G12)</f>
        <v>0</v>
      </c>
      <c r="H13" s="23">
        <f>SUM(H7:H12)</f>
        <v>0</v>
      </c>
      <c r="I13" s="23">
        <f>SUM(I7:I12)</f>
        <v>0</v>
      </c>
      <c r="J13" s="23">
        <f>SUM(J7:J12)</f>
        <v>0</v>
      </c>
      <c r="K13" s="23">
        <f>SUM(K7:K12)</f>
        <v>0</v>
      </c>
      <c r="L13" s="23">
        <f>SUM(L7:L12)</f>
        <v>0</v>
      </c>
      <c r="M13" s="23">
        <f>SUM(M7:M12)</f>
        <v>0</v>
      </c>
      <c r="N13" s="23">
        <f>SUM(N7:N12)</f>
        <v>0</v>
      </c>
    </row>
    <row r="14" spans="2:14">
      <c r="B14" s="20" t="s">
        <v>71</v>
      </c>
      <c r="C14" s="25">
        <f>C13</f>
        <v>0</v>
      </c>
      <c r="D14" s="25">
        <f>C14+D13</f>
        <v>0</v>
      </c>
      <c r="E14" s="25">
        <f>D14+E13</f>
        <v>0</v>
      </c>
      <c r="F14" s="25">
        <f>E14+F13</f>
        <v>0</v>
      </c>
      <c r="G14" s="25">
        <f>F14+G13</f>
        <v>0</v>
      </c>
      <c r="H14" s="25">
        <f>G14+H13</f>
        <v>0</v>
      </c>
      <c r="I14" s="25">
        <f>H14+I13</f>
        <v>0</v>
      </c>
      <c r="J14" s="25">
        <f>I14+J13</f>
        <v>0</v>
      </c>
      <c r="K14" s="25">
        <f>J14+K13</f>
        <v>0</v>
      </c>
      <c r="L14" s="25">
        <f>K14+L13</f>
        <v>0</v>
      </c>
      <c r="M14" s="25">
        <f>L14+M13</f>
        <v>0</v>
      </c>
      <c r="N14" s="25">
        <f>M14+N13</f>
        <v>0</v>
      </c>
    </row>
  </sheetData>
  <mergeCells count="2">
    <mergeCell ref="B2:N2"/>
    <mergeCell ref="B3:N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969C"/>
  </sheetPr>
  <dimension ref="B2:I20"/>
  <sheetViews>
    <sheetView showGridLines="0" workbookViewId="0"/>
  </sheetViews>
  <sheetFormatPr defaultRowHeight="15" x14ac:dyDescent="0.25"/>
  <cols>
    <col min="1" max="1" width="3.7109375" customWidth="1"/>
    <col min="2" max="2" width="28.7109375" customWidth="1"/>
    <col min="3" max="9" width="14.7109375" customWidth="1"/>
  </cols>
  <sheetData>
    <row r="2" spans="2:9" x14ac:dyDescent="0.25">
      <c r="B2" s="1" t="s">
        <v>72</v>
      </c>
      <c r="C2" s="1"/>
      <c r="D2" s="1"/>
      <c r="E2" s="1"/>
      <c r="F2" s="1"/>
      <c r="G2" s="1"/>
      <c r="H2" s="1"/>
      <c r="I2" s="1"/>
    </row>
    <row r="3" spans="2:9" x14ac:dyDescent="0.25">
      <c r="B3" s="2" t="s">
        <v>73</v>
      </c>
      <c r="C3" s="2"/>
      <c r="D3" s="2"/>
      <c r="E3" s="2"/>
      <c r="F3" s="2"/>
      <c r="G3" s="2"/>
      <c r="H3" s="2"/>
      <c r="I3" s="2"/>
    </row>
    <row r="6" spans="2:9" x14ac:dyDescent="0.25">
      <c r="B6" s="26" t="s">
        <v>74</v>
      </c>
      <c r="C6" s="26" t="s">
        <v>75</v>
      </c>
      <c r="D6" s="26" t="s">
        <v>76</v>
      </c>
      <c r="E6" s="26" t="s">
        <v>77</v>
      </c>
      <c r="F6" s="26" t="s">
        <v>78</v>
      </c>
      <c r="G6" s="26" t="s">
        <v>79</v>
      </c>
      <c r="H6" s="26" t="s">
        <v>80</v>
      </c>
      <c r="I6" s="26" t="s">
        <v>81</v>
      </c>
    </row>
    <row r="7" spans="2:9" x14ac:dyDescent="0.25">
      <c r="B7" s="8" t="s">
        <v>82</v>
      </c>
      <c r="C7" s="11">
        <v>89</v>
      </c>
      <c r="D7" s="13">
        <v>3.2</v>
      </c>
      <c r="E7" s="10">
        <v>0.988</v>
      </c>
      <c r="F7" s="11">
        <v>1200</v>
      </c>
      <c r="G7" s="12">
        <v>0.02</v>
      </c>
      <c r="H7" s="13" t="s">
        <v>83</v>
      </c>
      <c r="I7" s="13" t="s">
        <v>84</v>
      </c>
    </row>
    <row r="8" spans="2:9" x14ac:dyDescent="0.25">
      <c r="B8" s="14" t="s">
        <v>85</v>
      </c>
      <c r="C8" s="16">
        <v>156</v>
      </c>
      <c r="D8" s="18">
        <v>5.1</v>
      </c>
      <c r="E8" s="15">
        <v>0.974</v>
      </c>
      <c r="F8" s="16">
        <v>2100</v>
      </c>
      <c r="G8" s="17">
        <v>0.03</v>
      </c>
      <c r="H8" s="18" t="s">
        <v>83</v>
      </c>
      <c r="I8" s="18" t="s">
        <v>84</v>
      </c>
    </row>
    <row r="9" spans="2:9" x14ac:dyDescent="0.25">
      <c r="B9" s="8" t="s">
        <v>86</v>
      </c>
      <c r="C9" s="11">
        <v>34</v>
      </c>
      <c r="D9" s="13">
        <v>45</v>
      </c>
      <c r="E9" s="10">
        <v>0.9409999999999999</v>
      </c>
      <c r="F9" s="11">
        <v>15000</v>
      </c>
      <c r="G9" s="12">
        <v>0.23</v>
      </c>
      <c r="H9" s="13" t="s">
        <v>87</v>
      </c>
      <c r="I9" s="13" t="s">
        <v>88</v>
      </c>
    </row>
    <row r="10" spans="2:9" x14ac:dyDescent="0.25">
      <c r="B10" s="14" t="s">
        <v>89</v>
      </c>
      <c r="C10" s="16">
        <v>12</v>
      </c>
      <c r="D10" s="18">
        <v>210</v>
      </c>
      <c r="E10" s="15">
        <v>0.917</v>
      </c>
      <c r="F10" s="16">
        <v>48000</v>
      </c>
      <c r="G10" s="17">
        <v>0.72</v>
      </c>
      <c r="H10" s="18" t="s">
        <v>90</v>
      </c>
      <c r="I10" s="18" t="s">
        <v>84</v>
      </c>
    </row>
    <row r="11" spans="2:9" x14ac:dyDescent="0.25">
      <c r="B11" s="8" t="s">
        <v>91</v>
      </c>
      <c r="C11" s="11">
        <v>5</v>
      </c>
      <c r="D11" s="13">
        <v>780</v>
      </c>
      <c r="E11" s="10">
        <v>0.8</v>
      </c>
      <c r="F11" s="11">
        <v>120000</v>
      </c>
      <c r="G11" s="12">
        <v>1.8</v>
      </c>
      <c r="H11" s="13" t="s">
        <v>92</v>
      </c>
      <c r="I11" s="13" t="s">
        <v>88</v>
      </c>
    </row>
    <row r="12" spans="2:9" x14ac:dyDescent="0.25">
      <c r="B12" s="14" t="s">
        <v>93</v>
      </c>
      <c r="C12" s="16">
        <v>67</v>
      </c>
      <c r="D12" s="18">
        <v>35</v>
      </c>
      <c r="E12" s="15">
        <v>0.955</v>
      </c>
      <c r="F12" s="16">
        <v>8500</v>
      </c>
      <c r="G12" s="17">
        <v>0.13</v>
      </c>
      <c r="H12" s="18" t="s">
        <v>87</v>
      </c>
      <c r="I12" s="18" t="s">
        <v>88</v>
      </c>
    </row>
    <row r="13" spans="2:9" x14ac:dyDescent="0.25">
      <c r="B13" s="8" t="s">
        <v>94</v>
      </c>
      <c r="C13" s="11">
        <v>18</v>
      </c>
      <c r="D13" s="13">
        <v>420</v>
      </c>
      <c r="E13" s="10">
        <v>0.889</v>
      </c>
      <c r="F13" s="11">
        <v>55000</v>
      </c>
      <c r="G13" s="12">
        <v>0.83</v>
      </c>
      <c r="H13" s="13" t="s">
        <v>92</v>
      </c>
      <c r="I13" s="13" t="s">
        <v>84</v>
      </c>
    </row>
    <row r="14" spans="2:9" x14ac:dyDescent="0.25">
      <c r="B14" s="14" t="s">
        <v>95</v>
      </c>
      <c r="C14" s="16">
        <v>42</v>
      </c>
      <c r="D14" s="18">
        <v>4.5</v>
      </c>
      <c r="E14" s="15">
        <v>0.976</v>
      </c>
      <c r="F14" s="16">
        <v>900</v>
      </c>
      <c r="G14" s="17">
        <v>0.01</v>
      </c>
      <c r="H14" s="18" t="s">
        <v>83</v>
      </c>
      <c r="I14" s="18" t="s">
        <v>88</v>
      </c>
    </row>
    <row r="15" spans="2:9" x14ac:dyDescent="0.25">
      <c r="B15" s="8" t="s">
        <v>96</v>
      </c>
      <c r="C15" s="11">
        <v>38</v>
      </c>
      <c r="D15" s="13">
        <v>8</v>
      </c>
      <c r="E15" s="10">
        <v>0.947</v>
      </c>
      <c r="F15" s="11">
        <v>1500</v>
      </c>
      <c r="G15" s="12">
        <v>0.02</v>
      </c>
      <c r="H15" s="13" t="s">
        <v>83</v>
      </c>
      <c r="I15" s="13" t="s">
        <v>88</v>
      </c>
    </row>
    <row r="16" spans="2:9" x14ac:dyDescent="0.25">
      <c r="B16" s="14" t="s">
        <v>97</v>
      </c>
      <c r="C16" s="16">
        <v>95</v>
      </c>
      <c r="D16" s="18">
        <v>6.2</v>
      </c>
      <c r="E16" s="15">
        <v>0.968</v>
      </c>
      <c r="F16" s="16">
        <v>1100</v>
      </c>
      <c r="G16" s="17">
        <v>0.02</v>
      </c>
      <c r="H16" s="18" t="s">
        <v>83</v>
      </c>
      <c r="I16" s="18" t="s">
        <v>84</v>
      </c>
    </row>
    <row r="17" spans="2:9" x14ac:dyDescent="0.25">
      <c r="B17" s="8" t="s">
        <v>31</v>
      </c>
      <c r="C17" s="11">
        <v>26</v>
      </c>
      <c r="D17" s="13">
        <v>120</v>
      </c>
      <c r="E17" s="10">
        <v>0.923</v>
      </c>
      <c r="F17" s="11">
        <v>42000</v>
      </c>
      <c r="G17" s="12">
        <v>0.63</v>
      </c>
      <c r="H17" s="13" t="s">
        <v>90</v>
      </c>
      <c r="I17" s="13" t="s">
        <v>88</v>
      </c>
    </row>
    <row r="18" spans="2:9" x14ac:dyDescent="0.25">
      <c r="B18" s="14" t="s">
        <v>98</v>
      </c>
      <c r="C18" s="16">
        <v>312</v>
      </c>
      <c r="D18" s="18">
        <v>8.5</v>
      </c>
      <c r="E18" s="15">
        <v>0.99</v>
      </c>
      <c r="F18" s="16">
        <v>3000</v>
      </c>
      <c r="G18" s="17">
        <v>0.05</v>
      </c>
      <c r="H18" s="18" t="s">
        <v>83</v>
      </c>
      <c r="I18" s="18" t="s">
        <v>84</v>
      </c>
    </row>
    <row r="19" spans="2:9" x14ac:dyDescent="0.25">
      <c r="B19" s="8" t="s">
        <v>99</v>
      </c>
      <c r="C19" s="11">
        <v>3</v>
      </c>
      <c r="D19" s="13">
        <v>25</v>
      </c>
      <c r="E19" s="10">
        <v>1</v>
      </c>
      <c r="F19" s="11">
        <v>5000</v>
      </c>
      <c r="G19" s="12">
        <v>0.08</v>
      </c>
      <c r="H19" s="13" t="s">
        <v>87</v>
      </c>
      <c r="I19" s="13" t="s">
        <v>84</v>
      </c>
    </row>
    <row r="20" spans="2:9" x14ac:dyDescent="0.25">
      <c r="B20" s="14" t="s">
        <v>100</v>
      </c>
      <c r="C20" s="16">
        <v>45</v>
      </c>
      <c r="D20" s="18">
        <v>55</v>
      </c>
      <c r="E20" s="15">
        <v>0.911</v>
      </c>
      <c r="F20" s="16">
        <v>12000</v>
      </c>
      <c r="G20" s="17">
        <v>0.18</v>
      </c>
      <c r="H20" s="18" t="s">
        <v>90</v>
      </c>
      <c r="I20" s="18" t="s">
        <v>101</v>
      </c>
    </row>
  </sheetData>
  <mergeCells count="2">
    <mergeCell ref="B2:I2"/>
    <mergeCell ref="B3:I3"/>
  </mergeCells>
  <conditionalFormatting sqref="C7:C20">
    <cfRule type="dataBar" priority="2">
      <dataBar>
        <cfvo type="min"/>
        <cfvo type="max"/>
        <color rgb="FF0F969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7:E20">
    <cfRule type="colorScale" priority="1">
      <colorScale>
        <cfvo type="min" val="0"/>
        <cfvo type="percentile" val="50"/>
        <cfvo type="max" val="0"/>
        <color rgb="FFFCE4EC"/>
        <color rgb="FFFFF8E1"/>
        <color rgb="FFE8F5E9"/>
      </colorScale>
    </cfRule>
  </conditionalFormatting>
  <conditionalFormatting sqref="G7:G20">
    <cfRule type="iconSet" priority="3">
      <iconSet>
        <cfvo type="percent" val="0"/>
        <cfvo type="num" val="0.1"/>
        <cfvo type="num" val="0.5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0F969C"/>
              <x14:negativeFillColor rgb="FFFF0000"/>
              <x14:negativeBorderColor rgb="FFFF0000"/>
              <x14:axisColor rgb="FF000000"/>
            </x14:dataBar>
          </x14:cfRule>
          <xm:sqref>C7:C20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B59B6"/>
  </sheetPr>
  <dimension ref="B2:I9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8" width="14.7109375" customWidth="1"/>
    <col min="9" max="9" width="16.7109375" customWidth="1"/>
  </cols>
  <sheetData>
    <row r="2" spans="2:9">
      <c r="B2" s="1" t="s">
        <v>102</v>
      </c>
      <c r="C2" s="1"/>
      <c r="D2" s="1"/>
      <c r="E2" s="1"/>
      <c r="F2" s="1"/>
      <c r="G2" s="1"/>
      <c r="H2" s="1"/>
      <c r="I2" s="1"/>
    </row>
    <row r="5" spans="2:9">
      <c r="B5" s="27" t="s">
        <v>103</v>
      </c>
      <c r="C5" s="7" t="s">
        <v>104</v>
      </c>
      <c r="D5" s="7" t="s">
        <v>105</v>
      </c>
      <c r="E5" s="7" t="s">
        <v>106</v>
      </c>
      <c r="F5" s="7" t="s">
        <v>107</v>
      </c>
      <c r="G5" s="7" t="s">
        <v>108</v>
      </c>
      <c r="H5" s="7" t="s">
        <v>109</v>
      </c>
      <c r="I5" s="27" t="s">
        <v>110</v>
      </c>
    </row>
    <row r="6" spans="2:9">
      <c r="B6" s="8" t="s">
        <v>111</v>
      </c>
      <c r="C6" s="11">
        <v>56</v>
      </c>
      <c r="D6" s="11">
        <v>34</v>
      </c>
      <c r="E6" s="11">
        <v>65</v>
      </c>
      <c r="F6" s="11">
        <v>21</v>
      </c>
      <c r="G6" s="11">
        <v>24</v>
      </c>
      <c r="H6" s="11">
        <v>83</v>
      </c>
      <c r="I6" s="22">
        <f>SUM(C6:H6)</f>
        <v>0</v>
      </c>
    </row>
    <row r="7" spans="2:9">
      <c r="B7" s="14" t="s">
        <v>112</v>
      </c>
      <c r="C7" s="16">
        <v>27</v>
      </c>
      <c r="D7" s="16">
        <v>61</v>
      </c>
      <c r="E7" s="16">
        <v>22</v>
      </c>
      <c r="F7" s="16">
        <v>79</v>
      </c>
      <c r="G7" s="16">
        <v>42</v>
      </c>
      <c r="H7" s="16">
        <v>19</v>
      </c>
      <c r="I7" s="22">
        <f>SUM(C7:H7)</f>
        <v>0</v>
      </c>
    </row>
    <row r="8" spans="2:9">
      <c r="B8" s="8" t="s">
        <v>113</v>
      </c>
      <c r="C8" s="11">
        <v>26</v>
      </c>
      <c r="D8" s="11">
        <v>70</v>
      </c>
      <c r="E8" s="11">
        <v>68</v>
      </c>
      <c r="F8" s="11">
        <v>23</v>
      </c>
      <c r="G8" s="11">
        <v>45</v>
      </c>
      <c r="H8" s="11">
        <v>26</v>
      </c>
      <c r="I8" s="22">
        <f>SUM(C8:H8)</f>
        <v>0</v>
      </c>
    </row>
    <row r="9" spans="2:9">
      <c r="B9" s="14" t="s">
        <v>114</v>
      </c>
      <c r="C9" s="16">
        <v>85</v>
      </c>
      <c r="D9" s="16">
        <v>69</v>
      </c>
      <c r="E9" s="16">
        <v>22</v>
      </c>
      <c r="F9" s="16">
        <v>30</v>
      </c>
      <c r="G9" s="16">
        <v>43</v>
      </c>
      <c r="H9" s="16">
        <v>22</v>
      </c>
      <c r="I9" s="22">
        <f>SUM(C9:H9)</f>
        <v>0</v>
      </c>
    </row>
  </sheetData>
  <mergeCells count="1">
    <mergeCell ref="B2:I2"/>
  </mergeCells>
  <conditionalFormatting sqref="C6:H9">
    <cfRule type="colorScale" priority="1">
      <colorScale>
        <cfvo type="min" val="0"/>
        <cfvo type="percentile" val="50"/>
        <cfvo type="max" val="0"/>
        <color rgb="FFFFF5F5"/>
        <color rgb="FFFED7D7"/>
        <color rgb="FFE94560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ECC71"/>
  </sheetPr>
  <dimension ref="B2:J16"/>
  <sheetViews>
    <sheetView showGridLines="0" workbookViewId="0"/>
  </sheetViews>
  <sheetFormatPr defaultRowHeight="15"/>
  <cols>
    <col min="1" max="1" width="3.7109375" customWidth="1"/>
    <col min="2" max="2" width="22.7109375" customWidth="1"/>
    <col min="3" max="10" width="14.7109375" customWidth="1"/>
  </cols>
  <sheetData>
    <row r="2" spans="2:10">
      <c r="B2" s="1" t="s">
        <v>115</v>
      </c>
      <c r="C2" s="1"/>
      <c r="D2" s="1"/>
      <c r="E2" s="1"/>
      <c r="F2" s="1"/>
      <c r="G2" s="1"/>
      <c r="H2" s="1"/>
      <c r="I2" s="1"/>
      <c r="J2" s="1"/>
    </row>
    <row r="3" spans="2:10">
      <c r="B3" s="2" t="s">
        <v>116</v>
      </c>
      <c r="C3" s="2"/>
      <c r="D3" s="2"/>
      <c r="E3" s="2"/>
      <c r="F3" s="2"/>
      <c r="G3" s="2"/>
      <c r="H3" s="2"/>
      <c r="I3" s="2"/>
      <c r="J3" s="2"/>
    </row>
    <row r="6" spans="2:10">
      <c r="B6" s="7" t="s">
        <v>117</v>
      </c>
      <c r="C6" s="7" t="s">
        <v>103</v>
      </c>
      <c r="D6" s="7" t="s">
        <v>118</v>
      </c>
      <c r="E6" s="7" t="s">
        <v>119</v>
      </c>
      <c r="F6" s="7" t="s">
        <v>120</v>
      </c>
      <c r="G6" s="7" t="s">
        <v>121</v>
      </c>
      <c r="H6" s="7" t="s">
        <v>122</v>
      </c>
      <c r="I6" s="7" t="s">
        <v>123</v>
      </c>
    </row>
    <row r="7" spans="2:10">
      <c r="B7" s="8" t="s">
        <v>124</v>
      </c>
      <c r="C7" s="13" t="s">
        <v>125</v>
      </c>
      <c r="D7" s="9" t="s">
        <v>126</v>
      </c>
      <c r="E7" s="9" t="s">
        <v>126</v>
      </c>
      <c r="F7" s="28" t="s">
        <v>127</v>
      </c>
      <c r="G7" s="10">
        <v>0.78</v>
      </c>
      <c r="H7" s="10">
        <v>0.65</v>
      </c>
      <c r="I7" s="8" t="s">
        <v>128</v>
      </c>
    </row>
    <row r="8" spans="2:10">
      <c r="B8" s="14" t="s">
        <v>129</v>
      </c>
      <c r="C8" s="18" t="s">
        <v>125</v>
      </c>
      <c r="D8" s="9" t="s">
        <v>126</v>
      </c>
      <c r="E8" s="9" t="s">
        <v>126</v>
      </c>
      <c r="F8" s="9" t="s">
        <v>126</v>
      </c>
      <c r="G8" s="15">
        <v>0.82</v>
      </c>
      <c r="H8" s="15">
        <v>0.7</v>
      </c>
      <c r="I8" s="14" t="s">
        <v>130</v>
      </c>
    </row>
    <row r="9" spans="2:10">
      <c r="B9" s="8" t="s">
        <v>131</v>
      </c>
      <c r="C9" s="13" t="s">
        <v>125</v>
      </c>
      <c r="D9" s="28" t="s">
        <v>132</v>
      </c>
      <c r="E9" s="9" t="s">
        <v>126</v>
      </c>
      <c r="F9" s="13" t="s">
        <v>133</v>
      </c>
      <c r="G9" s="13" t="s">
        <v>133</v>
      </c>
      <c r="H9" s="10">
        <v>0.55</v>
      </c>
      <c r="I9" s="8" t="s">
        <v>134</v>
      </c>
    </row>
    <row r="10" spans="2:10">
      <c r="B10" s="14" t="s">
        <v>135</v>
      </c>
      <c r="C10" s="18" t="s">
        <v>125</v>
      </c>
      <c r="D10" s="9" t="s">
        <v>126</v>
      </c>
      <c r="E10" s="9" t="s">
        <v>126</v>
      </c>
      <c r="F10" s="9" t="s">
        <v>126</v>
      </c>
      <c r="G10" s="15">
        <v>0.91</v>
      </c>
      <c r="H10" s="15">
        <v>0.85</v>
      </c>
      <c r="I10" s="14" t="s">
        <v>136</v>
      </c>
    </row>
    <row r="13" spans="2:10">
      <c r="I13" s="24" t="s">
        <v>137</v>
      </c>
      <c r="J13" s="13">
        <v>12</v>
      </c>
    </row>
    <row r="14" spans="2:10">
      <c r="I14" s="24" t="s">
        <v>138</v>
      </c>
      <c r="J14" s="13">
        <v>10</v>
      </c>
    </row>
    <row r="15" spans="2:10">
      <c r="I15" s="24" t="s">
        <v>139</v>
      </c>
      <c r="J15" s="13">
        <v>5</v>
      </c>
    </row>
    <row r="16" spans="2:10">
      <c r="I16" s="24" t="s">
        <v>135</v>
      </c>
      <c r="J16" s="13">
        <v>8</v>
      </c>
    </row>
  </sheetData>
  <mergeCells count="2">
    <mergeCell ref="B2:J2"/>
    <mergeCell ref="B3:J3"/>
  </mergeCells>
  <conditionalFormatting sqref="H7:H10">
    <cfRule type="colorScale" priority="1">
      <colorScale>
        <cfvo type="min" val="0"/>
        <cfvo type="percentile" val="50"/>
        <cfvo type="max" val="0"/>
        <color rgb="FFFCE4EC"/>
        <color rgb="FFFFF8E1"/>
        <color rgb="FFE8F5E9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A1628"/>
  </sheetPr>
  <dimension ref="B2:D34"/>
  <sheetViews>
    <sheetView showGridLines="0" workbookViewId="0"/>
  </sheetViews>
  <sheetFormatPr defaultRowHeight="15"/>
  <cols>
    <col min="1" max="1" width="3.7109375" customWidth="1"/>
    <col min="2" max="3" width="25.7109375" customWidth="1"/>
    <col min="4" max="4" width="45.7109375" customWidth="1"/>
  </cols>
  <sheetData>
    <row r="2" spans="2:4">
      <c r="B2" s="1" t="s">
        <v>140</v>
      </c>
      <c r="C2" s="1"/>
      <c r="D2" s="1"/>
    </row>
    <row r="3" spans="2:4">
      <c r="B3" s="2" t="s">
        <v>141</v>
      </c>
      <c r="C3" s="2"/>
      <c r="D3" s="2"/>
    </row>
    <row r="6" spans="2:4">
      <c r="B6" s="27" t="s">
        <v>142</v>
      </c>
      <c r="C6" s="27" t="s">
        <v>143</v>
      </c>
      <c r="D6" s="27" t="s">
        <v>144</v>
      </c>
    </row>
    <row r="7" spans="2:4">
      <c r="B7" s="8" t="s">
        <v>145</v>
      </c>
      <c r="C7" s="13" t="s">
        <v>146</v>
      </c>
      <c r="D7" s="8" t="s">
        <v>147</v>
      </c>
    </row>
    <row r="8" spans="2:4">
      <c r="B8" s="14" t="s">
        <v>148</v>
      </c>
      <c r="C8" s="18" t="s">
        <v>146</v>
      </c>
      <c r="D8" s="14" t="s">
        <v>149</v>
      </c>
    </row>
    <row r="9" spans="2:4">
      <c r="B9" s="8" t="s">
        <v>150</v>
      </c>
      <c r="C9" s="13" t="s">
        <v>146</v>
      </c>
      <c r="D9" s="8" t="s">
        <v>151</v>
      </c>
    </row>
    <row r="10" spans="2:4">
      <c r="B10" s="14" t="s">
        <v>152</v>
      </c>
      <c r="C10" s="18" t="s">
        <v>146</v>
      </c>
      <c r="D10" s="14" t="s">
        <v>153</v>
      </c>
    </row>
    <row r="11" spans="2:4">
      <c r="B11" s="8" t="s">
        <v>154</v>
      </c>
      <c r="C11" s="13" t="s">
        <v>146</v>
      </c>
      <c r="D11" s="8" t="s">
        <v>155</v>
      </c>
    </row>
    <row r="12" spans="2:4">
      <c r="B12" s="14" t="s">
        <v>156</v>
      </c>
      <c r="C12" s="18" t="s">
        <v>146</v>
      </c>
      <c r="D12" s="14" t="s">
        <v>157</v>
      </c>
    </row>
    <row r="13" spans="2:4">
      <c r="B13" s="8" t="s">
        <v>158</v>
      </c>
      <c r="C13" s="13" t="s">
        <v>146</v>
      </c>
      <c r="D13" s="8" t="s">
        <v>159</v>
      </c>
    </row>
    <row r="14" spans="2:4">
      <c r="B14" s="14" t="s">
        <v>160</v>
      </c>
      <c r="C14" s="18" t="s">
        <v>146</v>
      </c>
      <c r="D14" s="14" t="s">
        <v>161</v>
      </c>
    </row>
    <row r="15" spans="2:4">
      <c r="B15" s="8" t="s">
        <v>162</v>
      </c>
      <c r="C15" s="13" t="s">
        <v>146</v>
      </c>
      <c r="D15" s="8" t="s">
        <v>163</v>
      </c>
    </row>
    <row r="16" spans="2:4">
      <c r="B16" s="14" t="s">
        <v>164</v>
      </c>
      <c r="C16" s="18" t="s">
        <v>146</v>
      </c>
      <c r="D16" s="14" t="s">
        <v>165</v>
      </c>
    </row>
    <row r="17" spans="2:4">
      <c r="B17" s="8" t="s">
        <v>166</v>
      </c>
      <c r="C17" s="13" t="s">
        <v>146</v>
      </c>
      <c r="D17" s="8" t="s">
        <v>167</v>
      </c>
    </row>
    <row r="18" spans="2:4">
      <c r="B18" s="14" t="s">
        <v>168</v>
      </c>
      <c r="C18" s="18" t="s">
        <v>146</v>
      </c>
      <c r="D18" s="14" t="s">
        <v>169</v>
      </c>
    </row>
    <row r="19" spans="2:4">
      <c r="B19" s="8" t="s">
        <v>170</v>
      </c>
      <c r="C19" s="13" t="s">
        <v>146</v>
      </c>
      <c r="D19" s="8" t="s">
        <v>171</v>
      </c>
    </row>
    <row r="20" spans="2:4">
      <c r="B20" s="14" t="s">
        <v>172</v>
      </c>
      <c r="C20" s="18" t="s">
        <v>146</v>
      </c>
      <c r="D20" s="14" t="s">
        <v>173</v>
      </c>
    </row>
    <row r="21" spans="2:4">
      <c r="B21" s="8" t="s">
        <v>174</v>
      </c>
      <c r="C21" s="13" t="s">
        <v>146</v>
      </c>
      <c r="D21" s="8" t="s">
        <v>175</v>
      </c>
    </row>
    <row r="22" spans="2:4">
      <c r="B22" s="14" t="s">
        <v>176</v>
      </c>
      <c r="C22" s="18" t="s">
        <v>146</v>
      </c>
      <c r="D22" s="14" t="s">
        <v>177</v>
      </c>
    </row>
    <row r="23" spans="2:4">
      <c r="B23" s="8" t="s">
        <v>178</v>
      </c>
      <c r="C23" s="13" t="s">
        <v>146</v>
      </c>
      <c r="D23" s="8" t="s">
        <v>179</v>
      </c>
    </row>
    <row r="24" spans="2:4">
      <c r="B24" s="14" t="s">
        <v>180</v>
      </c>
      <c r="C24" s="18" t="s">
        <v>146</v>
      </c>
      <c r="D24" s="14" t="s">
        <v>181</v>
      </c>
    </row>
    <row r="25" spans="2:4">
      <c r="B25" s="8" t="s">
        <v>182</v>
      </c>
      <c r="C25" s="13" t="s">
        <v>146</v>
      </c>
      <c r="D25" s="8" t="s">
        <v>183</v>
      </c>
    </row>
    <row r="26" spans="2:4">
      <c r="B26" s="14" t="s">
        <v>184</v>
      </c>
      <c r="C26" s="18" t="s">
        <v>146</v>
      </c>
      <c r="D26" s="14" t="s">
        <v>185</v>
      </c>
    </row>
    <row r="27" spans="2:4">
      <c r="B27" s="8" t="s">
        <v>186</v>
      </c>
      <c r="C27" s="13" t="s">
        <v>146</v>
      </c>
      <c r="D27" s="8" t="s">
        <v>187</v>
      </c>
    </row>
    <row r="28" spans="2:4">
      <c r="B28" s="14" t="s">
        <v>188</v>
      </c>
      <c r="C28" s="18" t="s">
        <v>146</v>
      </c>
      <c r="D28" s="14" t="s">
        <v>189</v>
      </c>
    </row>
    <row r="29" spans="2:4">
      <c r="B29" s="8" t="s">
        <v>190</v>
      </c>
      <c r="C29" s="13" t="s">
        <v>146</v>
      </c>
      <c r="D29" s="8" t="s">
        <v>191</v>
      </c>
    </row>
    <row r="30" spans="2:4">
      <c r="B30" s="14" t="s">
        <v>192</v>
      </c>
      <c r="C30" s="18" t="s">
        <v>146</v>
      </c>
      <c r="D30" s="14" t="s">
        <v>193</v>
      </c>
    </row>
    <row r="31" spans="2:4">
      <c r="B31" s="8" t="s">
        <v>194</v>
      </c>
      <c r="C31" s="13" t="s">
        <v>146</v>
      </c>
      <c r="D31" s="8" t="s">
        <v>195</v>
      </c>
    </row>
    <row r="33" spans="2:2">
      <c r="B33" s="24" t="s">
        <v>196</v>
      </c>
    </row>
    <row r="34" spans="2:2">
      <c r="B34" s="24" t="s">
        <v>197</v>
      </c>
    </row>
  </sheetData>
  <mergeCells count="2"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_spark_data</vt:lpstr>
      <vt:lpstr>💰 Cost Model</vt:lpstr>
      <vt:lpstr>📈 Task Analytics</vt:lpstr>
      <vt:lpstr>📅 Weekly Tracker</vt:lpstr>
      <vt:lpstr>🎓 MSc Progress</vt:lpstr>
      <vt:lpstr>🛠️ Capabilities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2026-02-19T08:48:11Z</dcterms:created>
  <dcterms:modified xsi:type="dcterms:W3CDTF">2026-02-19T08:48:11Z</dcterms:modified>
</cp:coreProperties>
</file>